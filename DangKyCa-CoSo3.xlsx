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Đăng ký" sheetId="1" state="visible" r:id="rId1"/>
    <sheet name="Còn ch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9A461C"/>
      <sz val="16"/>
    </font>
    <font>
      <i val="1"/>
      <color rgb="006B5B4C"/>
      <sz val="10"/>
    </font>
    <font>
      <b val="1"/>
      <color rgb="006B5B4C"/>
      <sz val="10"/>
    </font>
    <font>
      <b val="1"/>
      <color rgb="003A2A1E"/>
    </font>
    <font>
      <b val="1"/>
      <color rgb="003A2A1E"/>
      <sz val="10"/>
    </font>
    <font>
      <b val="1"/>
      <color rgb="009A461C"/>
      <sz val="14"/>
    </font>
  </fonts>
  <fills count="5">
    <fill>
      <patternFill/>
    </fill>
    <fill>
      <patternFill patternType="gray125"/>
    </fill>
    <fill>
      <patternFill patternType="solid">
        <fgColor rgb="00FBF5EC"/>
      </patternFill>
    </fill>
    <fill>
      <patternFill patternType="solid">
        <fgColor rgb="00FBF3E6"/>
      </patternFill>
    </fill>
    <fill>
      <patternFill patternType="solid">
        <fgColor rgb="00F3E7D6"/>
      </patternFill>
    </fill>
  </fills>
  <borders count="2">
    <border>
      <left/>
      <right/>
      <top/>
      <bottom/>
      <diagonal/>
    </border>
    <border>
      <left style="thin">
        <color rgb="00E3D6C4"/>
      </left>
      <right style="thin">
        <color rgb="00E3D6C4"/>
      </right>
      <top style="thin">
        <color rgb="00E3D6C4"/>
      </top>
      <bottom style="thin">
        <color rgb="00E3D6C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6" fillId="0" borderId="0" pivotButton="0" quotePrefix="0" xfId="0"/>
    <xf numFmtId="0" fontId="4" fillId="2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6C6C0"/>
        </patternFill>
      </fill>
    </dxf>
    <dxf>
      <fill>
        <patternFill patternType="solid">
          <fgColor rgb="00CDE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</cols>
  <sheetData>
    <row r="1">
      <c r="A1" s="1" t="inlineStr">
        <is>
          <t>ĐĂNG KÝ CA LÀM — CƠ SỞ 3</t>
        </is>
      </c>
    </row>
    <row r="2">
      <c r="A2" s="2" t="inlineStr">
        <is>
          <t>Điền chữ  x  vào buổi bạn ĐI LÀM ĐƯỢC. Ai điền trước được ưu tiên. Ô chuyển ĐỎ = buổi đó đã đủ người → hãy chọn buổi/ngày khác. Ô XANH = đã nhận chỗ.</t>
        </is>
      </c>
    </row>
    <row r="3">
      <c r="A3" s="3" t="inlineStr">
        <is>
          <t>Định mức mỗi buổi:  Pha chế 2  ·  Phục vụ 2–3   (người giữ xe do chủ quán chọn trong app)</t>
        </is>
      </c>
    </row>
    <row r="4" ht="30" customHeight="1">
      <c r="A4" s="4" t="inlineStr">
        <is>
          <t>Tên</t>
        </is>
      </c>
      <c r="B4" s="4" t="inlineStr">
        <is>
          <t>Vị trí</t>
        </is>
      </c>
      <c r="C4" s="5" t="inlineStr">
        <is>
          <t>T2 Sáng</t>
        </is>
      </c>
      <c r="D4" s="5" t="inlineStr">
        <is>
          <t>T2 Chiều</t>
        </is>
      </c>
      <c r="E4" s="5" t="inlineStr">
        <is>
          <t>T2 Tối</t>
        </is>
      </c>
      <c r="F4" s="6" t="inlineStr">
        <is>
          <t>T3 Sáng</t>
        </is>
      </c>
      <c r="G4" s="6" t="inlineStr">
        <is>
          <t>T3 Chiều</t>
        </is>
      </c>
      <c r="H4" s="6" t="inlineStr">
        <is>
          <t>T3 Tối</t>
        </is>
      </c>
      <c r="I4" s="5" t="inlineStr">
        <is>
          <t>T4 Sáng</t>
        </is>
      </c>
      <c r="J4" s="5" t="inlineStr">
        <is>
          <t>T4 Chiều</t>
        </is>
      </c>
      <c r="K4" s="5" t="inlineStr">
        <is>
          <t>T4 Tối</t>
        </is>
      </c>
      <c r="L4" s="6" t="inlineStr">
        <is>
          <t>T5 Sáng</t>
        </is>
      </c>
      <c r="M4" s="6" t="inlineStr">
        <is>
          <t>T5 Chiều</t>
        </is>
      </c>
      <c r="N4" s="6" t="inlineStr">
        <is>
          <t>T5 Tối</t>
        </is>
      </c>
      <c r="O4" s="5" t="inlineStr">
        <is>
          <t>T6 Sáng</t>
        </is>
      </c>
      <c r="P4" s="5" t="inlineStr">
        <is>
          <t>T6 Chiều</t>
        </is>
      </c>
      <c r="Q4" s="5" t="inlineStr">
        <is>
          <t>T6 Tối</t>
        </is>
      </c>
      <c r="R4" s="6" t="inlineStr">
        <is>
          <t>T7 Sáng</t>
        </is>
      </c>
      <c r="S4" s="6" t="inlineStr">
        <is>
          <t>T7 Chiều</t>
        </is>
      </c>
      <c r="T4" s="6" t="inlineStr">
        <is>
          <t>T7 Tối</t>
        </is>
      </c>
      <c r="U4" s="5" t="inlineStr">
        <is>
          <t>CN Sáng</t>
        </is>
      </c>
      <c r="V4" s="5" t="inlineStr">
        <is>
          <t>CN Chiều</t>
        </is>
      </c>
      <c r="W4" s="5" t="inlineStr">
        <is>
          <t>CN Tối</t>
        </is>
      </c>
    </row>
    <row r="5">
      <c r="A5" s="7" t="n"/>
      <c r="B5" s="8" t="n"/>
      <c r="C5" s="9" t="n"/>
      <c r="D5" s="9" t="n"/>
      <c r="E5" s="9" t="n"/>
      <c r="F5" s="10" t="n"/>
      <c r="G5" s="10" t="n"/>
      <c r="H5" s="10" t="n"/>
      <c r="I5" s="9" t="n"/>
      <c r="J5" s="9" t="n"/>
      <c r="K5" s="9" t="n"/>
      <c r="L5" s="10" t="n"/>
      <c r="M5" s="10" t="n"/>
      <c r="N5" s="10" t="n"/>
      <c r="O5" s="9" t="n"/>
      <c r="P5" s="9" t="n"/>
      <c r="Q5" s="9" t="n"/>
      <c r="R5" s="10" t="n"/>
      <c r="S5" s="10" t="n"/>
      <c r="T5" s="10" t="n"/>
      <c r="U5" s="9" t="n"/>
      <c r="V5" s="9" t="n"/>
      <c r="W5" s="9" t="n"/>
    </row>
    <row r="6">
      <c r="A6" s="7" t="n"/>
      <c r="B6" s="8" t="n"/>
      <c r="C6" s="9" t="n"/>
      <c r="D6" s="9" t="n"/>
      <c r="E6" s="9" t="n"/>
      <c r="F6" s="10" t="n"/>
      <c r="G6" s="10" t="n"/>
      <c r="H6" s="10" t="n"/>
      <c r="I6" s="9" t="n"/>
      <c r="J6" s="9" t="n"/>
      <c r="K6" s="9" t="n"/>
      <c r="L6" s="10" t="n"/>
      <c r="M6" s="10" t="n"/>
      <c r="N6" s="10" t="n"/>
      <c r="O6" s="9" t="n"/>
      <c r="P6" s="9" t="n"/>
      <c r="Q6" s="9" t="n"/>
      <c r="R6" s="10" t="n"/>
      <c r="S6" s="10" t="n"/>
      <c r="T6" s="10" t="n"/>
      <c r="U6" s="9" t="n"/>
      <c r="V6" s="9" t="n"/>
      <c r="W6" s="9" t="n"/>
    </row>
    <row r="7">
      <c r="A7" s="7" t="n"/>
      <c r="B7" s="8" t="n"/>
      <c r="C7" s="9" t="n"/>
      <c r="D7" s="9" t="n"/>
      <c r="E7" s="9" t="n"/>
      <c r="F7" s="10" t="n"/>
      <c r="G7" s="10" t="n"/>
      <c r="H7" s="10" t="n"/>
      <c r="I7" s="9" t="n"/>
      <c r="J7" s="9" t="n"/>
      <c r="K7" s="9" t="n"/>
      <c r="L7" s="10" t="n"/>
      <c r="M7" s="10" t="n"/>
      <c r="N7" s="10" t="n"/>
      <c r="O7" s="9" t="n"/>
      <c r="P7" s="9" t="n"/>
      <c r="Q7" s="9" t="n"/>
      <c r="R7" s="10" t="n"/>
      <c r="S7" s="10" t="n"/>
      <c r="T7" s="10" t="n"/>
      <c r="U7" s="9" t="n"/>
      <c r="V7" s="9" t="n"/>
      <c r="W7" s="9" t="n"/>
    </row>
    <row r="8">
      <c r="A8" s="7" t="n"/>
      <c r="B8" s="8" t="n"/>
      <c r="C8" s="9" t="n"/>
      <c r="D8" s="9" t="n"/>
      <c r="E8" s="9" t="n"/>
      <c r="F8" s="10" t="n"/>
      <c r="G8" s="10" t="n"/>
      <c r="H8" s="10" t="n"/>
      <c r="I8" s="9" t="n"/>
      <c r="J8" s="9" t="n"/>
      <c r="K8" s="9" t="n"/>
      <c r="L8" s="10" t="n"/>
      <c r="M8" s="10" t="n"/>
      <c r="N8" s="10" t="n"/>
      <c r="O8" s="9" t="n"/>
      <c r="P8" s="9" t="n"/>
      <c r="Q8" s="9" t="n"/>
      <c r="R8" s="10" t="n"/>
      <c r="S8" s="10" t="n"/>
      <c r="T8" s="10" t="n"/>
      <c r="U8" s="9" t="n"/>
      <c r="V8" s="9" t="n"/>
      <c r="W8" s="9" t="n"/>
    </row>
    <row r="9">
      <c r="A9" s="7" t="n"/>
      <c r="B9" s="8" t="n"/>
      <c r="C9" s="9" t="n"/>
      <c r="D9" s="9" t="n"/>
      <c r="E9" s="9" t="n"/>
      <c r="F9" s="10" t="n"/>
      <c r="G9" s="10" t="n"/>
      <c r="H9" s="10" t="n"/>
      <c r="I9" s="9" t="n"/>
      <c r="J9" s="9" t="n"/>
      <c r="K9" s="9" t="n"/>
      <c r="L9" s="10" t="n"/>
      <c r="M9" s="10" t="n"/>
      <c r="N9" s="10" t="n"/>
      <c r="O9" s="9" t="n"/>
      <c r="P9" s="9" t="n"/>
      <c r="Q9" s="9" t="n"/>
      <c r="R9" s="10" t="n"/>
      <c r="S9" s="10" t="n"/>
      <c r="T9" s="10" t="n"/>
      <c r="U9" s="9" t="n"/>
      <c r="V9" s="9" t="n"/>
      <c r="W9" s="9" t="n"/>
    </row>
    <row r="10">
      <c r="A10" s="7" t="n"/>
      <c r="B10" s="8" t="n"/>
      <c r="C10" s="9" t="n"/>
      <c r="D10" s="9" t="n"/>
      <c r="E10" s="9" t="n"/>
      <c r="F10" s="10" t="n"/>
      <c r="G10" s="10" t="n"/>
      <c r="H10" s="10" t="n"/>
      <c r="I10" s="9" t="n"/>
      <c r="J10" s="9" t="n"/>
      <c r="K10" s="9" t="n"/>
      <c r="L10" s="10" t="n"/>
      <c r="M10" s="10" t="n"/>
      <c r="N10" s="10" t="n"/>
      <c r="O10" s="9" t="n"/>
      <c r="P10" s="9" t="n"/>
      <c r="Q10" s="9" t="n"/>
      <c r="R10" s="10" t="n"/>
      <c r="S10" s="10" t="n"/>
      <c r="T10" s="10" t="n"/>
      <c r="U10" s="9" t="n"/>
      <c r="V10" s="9" t="n"/>
      <c r="W10" s="9" t="n"/>
    </row>
    <row r="11">
      <c r="A11" s="7" t="n"/>
      <c r="B11" s="8" t="n"/>
      <c r="C11" s="9" t="n"/>
      <c r="D11" s="9" t="n"/>
      <c r="E11" s="9" t="n"/>
      <c r="F11" s="10" t="n"/>
      <c r="G11" s="10" t="n"/>
      <c r="H11" s="10" t="n"/>
      <c r="I11" s="9" t="n"/>
      <c r="J11" s="9" t="n"/>
      <c r="K11" s="9" t="n"/>
      <c r="L11" s="10" t="n"/>
      <c r="M11" s="10" t="n"/>
      <c r="N11" s="10" t="n"/>
      <c r="O11" s="9" t="n"/>
      <c r="P11" s="9" t="n"/>
      <c r="Q11" s="9" t="n"/>
      <c r="R11" s="10" t="n"/>
      <c r="S11" s="10" t="n"/>
      <c r="T11" s="10" t="n"/>
      <c r="U11" s="9" t="n"/>
      <c r="V11" s="9" t="n"/>
      <c r="W11" s="9" t="n"/>
    </row>
    <row r="12">
      <c r="A12" s="7" t="n"/>
      <c r="B12" s="8" t="n"/>
      <c r="C12" s="9" t="n"/>
      <c r="D12" s="9" t="n"/>
      <c r="E12" s="9" t="n"/>
      <c r="F12" s="10" t="n"/>
      <c r="G12" s="10" t="n"/>
      <c r="H12" s="10" t="n"/>
      <c r="I12" s="9" t="n"/>
      <c r="J12" s="9" t="n"/>
      <c r="K12" s="9" t="n"/>
      <c r="L12" s="10" t="n"/>
      <c r="M12" s="10" t="n"/>
      <c r="N12" s="10" t="n"/>
      <c r="O12" s="9" t="n"/>
      <c r="P12" s="9" t="n"/>
      <c r="Q12" s="9" t="n"/>
      <c r="R12" s="10" t="n"/>
      <c r="S12" s="10" t="n"/>
      <c r="T12" s="10" t="n"/>
      <c r="U12" s="9" t="n"/>
      <c r="V12" s="9" t="n"/>
      <c r="W12" s="9" t="n"/>
    </row>
    <row r="13">
      <c r="A13" s="7" t="n"/>
      <c r="B13" s="8" t="n"/>
      <c r="C13" s="9" t="n"/>
      <c r="D13" s="9" t="n"/>
      <c r="E13" s="9" t="n"/>
      <c r="F13" s="10" t="n"/>
      <c r="G13" s="10" t="n"/>
      <c r="H13" s="10" t="n"/>
      <c r="I13" s="9" t="n"/>
      <c r="J13" s="9" t="n"/>
      <c r="K13" s="9" t="n"/>
      <c r="L13" s="10" t="n"/>
      <c r="M13" s="10" t="n"/>
      <c r="N13" s="10" t="n"/>
      <c r="O13" s="9" t="n"/>
      <c r="P13" s="9" t="n"/>
      <c r="Q13" s="9" t="n"/>
      <c r="R13" s="10" t="n"/>
      <c r="S13" s="10" t="n"/>
      <c r="T13" s="10" t="n"/>
      <c r="U13" s="9" t="n"/>
      <c r="V13" s="9" t="n"/>
      <c r="W13" s="9" t="n"/>
    </row>
    <row r="14">
      <c r="A14" s="7" t="n"/>
      <c r="B14" s="8" t="n"/>
      <c r="C14" s="9" t="n"/>
      <c r="D14" s="9" t="n"/>
      <c r="E14" s="9" t="n"/>
      <c r="F14" s="10" t="n"/>
      <c r="G14" s="10" t="n"/>
      <c r="H14" s="10" t="n"/>
      <c r="I14" s="9" t="n"/>
      <c r="J14" s="9" t="n"/>
      <c r="K14" s="9" t="n"/>
      <c r="L14" s="10" t="n"/>
      <c r="M14" s="10" t="n"/>
      <c r="N14" s="10" t="n"/>
      <c r="O14" s="9" t="n"/>
      <c r="P14" s="9" t="n"/>
      <c r="Q14" s="9" t="n"/>
      <c r="R14" s="10" t="n"/>
      <c r="S14" s="10" t="n"/>
      <c r="T14" s="10" t="n"/>
      <c r="U14" s="9" t="n"/>
      <c r="V14" s="9" t="n"/>
      <c r="W14" s="9" t="n"/>
    </row>
    <row r="15">
      <c r="A15" s="7" t="n"/>
      <c r="B15" s="8" t="n"/>
      <c r="C15" s="9" t="n"/>
      <c r="D15" s="9" t="n"/>
      <c r="E15" s="9" t="n"/>
      <c r="F15" s="10" t="n"/>
      <c r="G15" s="10" t="n"/>
      <c r="H15" s="10" t="n"/>
      <c r="I15" s="9" t="n"/>
      <c r="J15" s="9" t="n"/>
      <c r="K15" s="9" t="n"/>
      <c r="L15" s="10" t="n"/>
      <c r="M15" s="10" t="n"/>
      <c r="N15" s="10" t="n"/>
      <c r="O15" s="9" t="n"/>
      <c r="P15" s="9" t="n"/>
      <c r="Q15" s="9" t="n"/>
      <c r="R15" s="10" t="n"/>
      <c r="S15" s="10" t="n"/>
      <c r="T15" s="10" t="n"/>
      <c r="U15" s="9" t="n"/>
      <c r="V15" s="9" t="n"/>
      <c r="W15" s="9" t="n"/>
    </row>
    <row r="16">
      <c r="A16" s="7" t="n"/>
      <c r="B16" s="8" t="n"/>
      <c r="C16" s="9" t="n"/>
      <c r="D16" s="9" t="n"/>
      <c r="E16" s="9" t="n"/>
      <c r="F16" s="10" t="n"/>
      <c r="G16" s="10" t="n"/>
      <c r="H16" s="10" t="n"/>
      <c r="I16" s="9" t="n"/>
      <c r="J16" s="9" t="n"/>
      <c r="K16" s="9" t="n"/>
      <c r="L16" s="10" t="n"/>
      <c r="M16" s="10" t="n"/>
      <c r="N16" s="10" t="n"/>
      <c r="O16" s="9" t="n"/>
      <c r="P16" s="9" t="n"/>
      <c r="Q16" s="9" t="n"/>
      <c r="R16" s="10" t="n"/>
      <c r="S16" s="10" t="n"/>
      <c r="T16" s="10" t="n"/>
      <c r="U16" s="9" t="n"/>
      <c r="V16" s="9" t="n"/>
      <c r="W16" s="9" t="n"/>
    </row>
    <row r="17">
      <c r="A17" s="7" t="n"/>
      <c r="B17" s="8" t="n"/>
      <c r="C17" s="9" t="n"/>
      <c r="D17" s="9" t="n"/>
      <c r="E17" s="9" t="n"/>
      <c r="F17" s="10" t="n"/>
      <c r="G17" s="10" t="n"/>
      <c r="H17" s="10" t="n"/>
      <c r="I17" s="9" t="n"/>
      <c r="J17" s="9" t="n"/>
      <c r="K17" s="9" t="n"/>
      <c r="L17" s="10" t="n"/>
      <c r="M17" s="10" t="n"/>
      <c r="N17" s="10" t="n"/>
      <c r="O17" s="9" t="n"/>
      <c r="P17" s="9" t="n"/>
      <c r="Q17" s="9" t="n"/>
      <c r="R17" s="10" t="n"/>
      <c r="S17" s="10" t="n"/>
      <c r="T17" s="10" t="n"/>
      <c r="U17" s="9" t="n"/>
      <c r="V17" s="9" t="n"/>
      <c r="W17" s="9" t="n"/>
    </row>
    <row r="18">
      <c r="A18" s="7" t="n"/>
      <c r="B18" s="8" t="n"/>
      <c r="C18" s="9" t="n"/>
      <c r="D18" s="9" t="n"/>
      <c r="E18" s="9" t="n"/>
      <c r="F18" s="10" t="n"/>
      <c r="G18" s="10" t="n"/>
      <c r="H18" s="10" t="n"/>
      <c r="I18" s="9" t="n"/>
      <c r="J18" s="9" t="n"/>
      <c r="K18" s="9" t="n"/>
      <c r="L18" s="10" t="n"/>
      <c r="M18" s="10" t="n"/>
      <c r="N18" s="10" t="n"/>
      <c r="O18" s="9" t="n"/>
      <c r="P18" s="9" t="n"/>
      <c r="Q18" s="9" t="n"/>
      <c r="R18" s="10" t="n"/>
      <c r="S18" s="10" t="n"/>
      <c r="T18" s="10" t="n"/>
      <c r="U18" s="9" t="n"/>
      <c r="V18" s="9" t="n"/>
      <c r="W18" s="9" t="n"/>
    </row>
    <row r="19">
      <c r="A19" s="7" t="n"/>
      <c r="B19" s="8" t="n"/>
      <c r="C19" s="9" t="n"/>
      <c r="D19" s="9" t="n"/>
      <c r="E19" s="9" t="n"/>
      <c r="F19" s="10" t="n"/>
      <c r="G19" s="10" t="n"/>
      <c r="H19" s="10" t="n"/>
      <c r="I19" s="9" t="n"/>
      <c r="J19" s="9" t="n"/>
      <c r="K19" s="9" t="n"/>
      <c r="L19" s="10" t="n"/>
      <c r="M19" s="10" t="n"/>
      <c r="N19" s="10" t="n"/>
      <c r="O19" s="9" t="n"/>
      <c r="P19" s="9" t="n"/>
      <c r="Q19" s="9" t="n"/>
      <c r="R19" s="10" t="n"/>
      <c r="S19" s="10" t="n"/>
      <c r="T19" s="10" t="n"/>
      <c r="U19" s="9" t="n"/>
      <c r="V19" s="9" t="n"/>
      <c r="W19" s="9" t="n"/>
    </row>
    <row r="20">
      <c r="A20" s="7" t="n"/>
      <c r="B20" s="8" t="n"/>
      <c r="C20" s="9" t="n"/>
      <c r="D20" s="9" t="n"/>
      <c r="E20" s="9" t="n"/>
      <c r="F20" s="10" t="n"/>
      <c r="G20" s="10" t="n"/>
      <c r="H20" s="10" t="n"/>
      <c r="I20" s="9" t="n"/>
      <c r="J20" s="9" t="n"/>
      <c r="K20" s="9" t="n"/>
      <c r="L20" s="10" t="n"/>
      <c r="M20" s="10" t="n"/>
      <c r="N20" s="10" t="n"/>
      <c r="O20" s="9" t="n"/>
      <c r="P20" s="9" t="n"/>
      <c r="Q20" s="9" t="n"/>
      <c r="R20" s="10" t="n"/>
      <c r="S20" s="10" t="n"/>
      <c r="T20" s="10" t="n"/>
      <c r="U20" s="9" t="n"/>
      <c r="V20" s="9" t="n"/>
      <c r="W20" s="9" t="n"/>
    </row>
  </sheetData>
  <conditionalFormatting sqref="C5:C20">
    <cfRule type="expression" priority="1" dxfId="0" stopIfTrue="1">
      <formula>AND(C5="x",COUNTIFS($B$5:$B5,$B5,C$5:C5,"x")&gt;IF($B5="Pha chế",2,IF($B5="Phục vụ",3,99)))</formula>
    </cfRule>
    <cfRule type="expression" priority="2" dxfId="1">
      <formula>AND(C5="x",COUNTIFS($B$5:$B5,$B5,C$5:C5,"x")&lt;=IF($B5="Pha chế",2,IF($B5="Phục vụ",3,99)))</formula>
    </cfRule>
  </conditionalFormatting>
  <conditionalFormatting sqref="D5:D20">
    <cfRule type="expression" priority="3" dxfId="0" stopIfTrue="1">
      <formula>AND(D5="x",COUNTIFS($B$5:$B5,$B5,D$5:D5,"x")&gt;IF($B5="Pha chế",2,IF($B5="Phục vụ",2,99)))</formula>
    </cfRule>
    <cfRule type="expression" priority="4" dxfId="1">
      <formula>AND(D5="x",COUNTIFS($B$5:$B5,$B5,D$5:D5,"x")&lt;=IF($B5="Pha chế",2,IF($B5="Phục vụ",2,99)))</formula>
    </cfRule>
  </conditionalFormatting>
  <conditionalFormatting sqref="E5:E20">
    <cfRule type="expression" priority="5" dxfId="0" stopIfTrue="1">
      <formula>AND(E5="x",COUNTIFS($B$5:$B5,$B5,E$5:E5,"x")&gt;IF($B5="Pha chế",2,IF($B5="Phục vụ",3,99)))</formula>
    </cfRule>
    <cfRule type="expression" priority="6" dxfId="1">
      <formula>AND(E5="x",COUNTIFS($B$5:$B5,$B5,E$5:E5,"x")&lt;=IF($B5="Pha chế",2,IF($B5="Phục vụ",3,99)))</formula>
    </cfRule>
  </conditionalFormatting>
  <conditionalFormatting sqref="F5:F20">
    <cfRule type="expression" priority="7" dxfId="0" stopIfTrue="1">
      <formula>AND(F5="x",COUNTIFS($B$5:$B5,$B5,F$5:F5,"x")&gt;IF($B5="Pha chế",2,IF($B5="Phục vụ",3,99)))</formula>
    </cfRule>
    <cfRule type="expression" priority="8" dxfId="1">
      <formula>AND(F5="x",COUNTIFS($B$5:$B5,$B5,F$5:F5,"x")&lt;=IF($B5="Pha chế",2,IF($B5="Phục vụ",3,99)))</formula>
    </cfRule>
  </conditionalFormatting>
  <conditionalFormatting sqref="G5:G20">
    <cfRule type="expression" priority="9" dxfId="0" stopIfTrue="1">
      <formula>AND(G5="x",COUNTIFS($B$5:$B5,$B5,G$5:G5,"x")&gt;IF($B5="Pha chế",2,IF($B5="Phục vụ",2,99)))</formula>
    </cfRule>
    <cfRule type="expression" priority="10" dxfId="1">
      <formula>AND(G5="x",COUNTIFS($B$5:$B5,$B5,G$5:G5,"x")&lt;=IF($B5="Pha chế",2,IF($B5="Phục vụ",2,99)))</formula>
    </cfRule>
  </conditionalFormatting>
  <conditionalFormatting sqref="H5:H20">
    <cfRule type="expression" priority="11" dxfId="0" stopIfTrue="1">
      <formula>AND(H5="x",COUNTIFS($B$5:$B5,$B5,H$5:H5,"x")&gt;IF($B5="Pha chế",2,IF($B5="Phục vụ",3,99)))</formula>
    </cfRule>
    <cfRule type="expression" priority="12" dxfId="1">
      <formula>AND(H5="x",COUNTIFS($B$5:$B5,$B5,H$5:H5,"x")&lt;=IF($B5="Pha chế",2,IF($B5="Phục vụ",3,99)))</formula>
    </cfRule>
  </conditionalFormatting>
  <conditionalFormatting sqref="I5:I20">
    <cfRule type="expression" priority="13" dxfId="0" stopIfTrue="1">
      <formula>AND(I5="x",COUNTIFS($B$5:$B5,$B5,I$5:I5,"x")&gt;IF($B5="Pha chế",2,IF($B5="Phục vụ",3,99)))</formula>
    </cfRule>
    <cfRule type="expression" priority="14" dxfId="1">
      <formula>AND(I5="x",COUNTIFS($B$5:$B5,$B5,I$5:I5,"x")&lt;=IF($B5="Pha chế",2,IF($B5="Phục vụ",3,99)))</formula>
    </cfRule>
  </conditionalFormatting>
  <conditionalFormatting sqref="J5:J20">
    <cfRule type="expression" priority="15" dxfId="0" stopIfTrue="1">
      <formula>AND(J5="x",COUNTIFS($B$5:$B5,$B5,J$5:J5,"x")&gt;IF($B5="Pha chế",2,IF($B5="Phục vụ",2,99)))</formula>
    </cfRule>
    <cfRule type="expression" priority="16" dxfId="1">
      <formula>AND(J5="x",COUNTIFS($B$5:$B5,$B5,J$5:J5,"x")&lt;=IF($B5="Pha chế",2,IF($B5="Phục vụ",2,99)))</formula>
    </cfRule>
  </conditionalFormatting>
  <conditionalFormatting sqref="K5:K20">
    <cfRule type="expression" priority="17" dxfId="0" stopIfTrue="1">
      <formula>AND(K5="x",COUNTIFS($B$5:$B5,$B5,K$5:K5,"x")&gt;IF($B5="Pha chế",2,IF($B5="Phục vụ",3,99)))</formula>
    </cfRule>
    <cfRule type="expression" priority="18" dxfId="1">
      <formula>AND(K5="x",COUNTIFS($B$5:$B5,$B5,K$5:K5,"x")&lt;=IF($B5="Pha chế",2,IF($B5="Phục vụ",3,99)))</formula>
    </cfRule>
  </conditionalFormatting>
  <conditionalFormatting sqref="L5:L20">
    <cfRule type="expression" priority="19" dxfId="0" stopIfTrue="1">
      <formula>AND(L5="x",COUNTIFS($B$5:$B5,$B5,L$5:L5,"x")&gt;IF($B5="Pha chế",2,IF($B5="Phục vụ",3,99)))</formula>
    </cfRule>
    <cfRule type="expression" priority="20" dxfId="1">
      <formula>AND(L5="x",COUNTIFS($B$5:$B5,$B5,L$5:L5,"x")&lt;=IF($B5="Pha chế",2,IF($B5="Phục vụ",3,99)))</formula>
    </cfRule>
  </conditionalFormatting>
  <conditionalFormatting sqref="M5:M20">
    <cfRule type="expression" priority="21" dxfId="0" stopIfTrue="1">
      <formula>AND(M5="x",COUNTIFS($B$5:$B5,$B5,M$5:M5,"x")&gt;IF($B5="Pha chế",2,IF($B5="Phục vụ",2,99)))</formula>
    </cfRule>
    <cfRule type="expression" priority="22" dxfId="1">
      <formula>AND(M5="x",COUNTIFS($B$5:$B5,$B5,M$5:M5,"x")&lt;=IF($B5="Pha chế",2,IF($B5="Phục vụ",2,99)))</formula>
    </cfRule>
  </conditionalFormatting>
  <conditionalFormatting sqref="N5:N20">
    <cfRule type="expression" priority="23" dxfId="0" stopIfTrue="1">
      <formula>AND(N5="x",COUNTIFS($B$5:$B5,$B5,N$5:N5,"x")&gt;IF($B5="Pha chế",2,IF($B5="Phục vụ",3,99)))</formula>
    </cfRule>
    <cfRule type="expression" priority="24" dxfId="1">
      <formula>AND(N5="x",COUNTIFS($B$5:$B5,$B5,N$5:N5,"x")&lt;=IF($B5="Pha chế",2,IF($B5="Phục vụ",3,99)))</formula>
    </cfRule>
  </conditionalFormatting>
  <conditionalFormatting sqref="O5:O20">
    <cfRule type="expression" priority="25" dxfId="0" stopIfTrue="1">
      <formula>AND(O5="x",COUNTIFS($B$5:$B5,$B5,O$5:O5,"x")&gt;IF($B5="Pha chế",2,IF($B5="Phục vụ",3,99)))</formula>
    </cfRule>
    <cfRule type="expression" priority="26" dxfId="1">
      <formula>AND(O5="x",COUNTIFS($B$5:$B5,$B5,O$5:O5,"x")&lt;=IF($B5="Pha chế",2,IF($B5="Phục vụ",3,99)))</formula>
    </cfRule>
  </conditionalFormatting>
  <conditionalFormatting sqref="P5:P20">
    <cfRule type="expression" priority="27" dxfId="0" stopIfTrue="1">
      <formula>AND(P5="x",COUNTIFS($B$5:$B5,$B5,P$5:P5,"x")&gt;IF($B5="Pha chế",2,IF($B5="Phục vụ",2,99)))</formula>
    </cfRule>
    <cfRule type="expression" priority="28" dxfId="1">
      <formula>AND(P5="x",COUNTIFS($B$5:$B5,$B5,P$5:P5,"x")&lt;=IF($B5="Pha chế",2,IF($B5="Phục vụ",2,99)))</formula>
    </cfRule>
  </conditionalFormatting>
  <conditionalFormatting sqref="Q5:Q20">
    <cfRule type="expression" priority="29" dxfId="0" stopIfTrue="1">
      <formula>AND(Q5="x",COUNTIFS($B$5:$B5,$B5,Q$5:Q5,"x")&gt;IF($B5="Pha chế",2,IF($B5="Phục vụ",3,99)))</formula>
    </cfRule>
    <cfRule type="expression" priority="30" dxfId="1">
      <formula>AND(Q5="x",COUNTIFS($B$5:$B5,$B5,Q$5:Q5,"x")&lt;=IF($B5="Pha chế",2,IF($B5="Phục vụ",3,99)))</formula>
    </cfRule>
  </conditionalFormatting>
  <conditionalFormatting sqref="R5:R20">
    <cfRule type="expression" priority="31" dxfId="0" stopIfTrue="1">
      <formula>AND(R5="x",COUNTIFS($B$5:$B5,$B5,R$5:R5,"x")&gt;IF($B5="Pha chế",2,IF($B5="Phục vụ",3,99)))</formula>
    </cfRule>
    <cfRule type="expression" priority="32" dxfId="1">
      <formula>AND(R5="x",COUNTIFS($B$5:$B5,$B5,R$5:R5,"x")&lt;=IF($B5="Pha chế",2,IF($B5="Phục vụ",3,99)))</formula>
    </cfRule>
  </conditionalFormatting>
  <conditionalFormatting sqref="S5:S20">
    <cfRule type="expression" priority="33" dxfId="0" stopIfTrue="1">
      <formula>AND(S5="x",COUNTIFS($B$5:$B5,$B5,S$5:S5,"x")&gt;IF($B5="Pha chế",2,IF($B5="Phục vụ",2,99)))</formula>
    </cfRule>
    <cfRule type="expression" priority="34" dxfId="1">
      <formula>AND(S5="x",COUNTIFS($B$5:$B5,$B5,S$5:S5,"x")&lt;=IF($B5="Pha chế",2,IF($B5="Phục vụ",2,99)))</formula>
    </cfRule>
  </conditionalFormatting>
  <conditionalFormatting sqref="T5:T20">
    <cfRule type="expression" priority="35" dxfId="0" stopIfTrue="1">
      <formula>AND(T5="x",COUNTIFS($B$5:$B5,$B5,T$5:T5,"x")&gt;IF($B5="Pha chế",2,IF($B5="Phục vụ",3,99)))</formula>
    </cfRule>
    <cfRule type="expression" priority="36" dxfId="1">
      <formula>AND(T5="x",COUNTIFS($B$5:$B5,$B5,T$5:T5,"x")&lt;=IF($B5="Pha chế",2,IF($B5="Phục vụ",3,99)))</formula>
    </cfRule>
  </conditionalFormatting>
  <conditionalFormatting sqref="U5:U20">
    <cfRule type="expression" priority="37" dxfId="0" stopIfTrue="1">
      <formula>AND(U5="x",COUNTIFS($B$5:$B5,$B5,U$5:U5,"x")&gt;IF($B5="Pha chế",2,IF($B5="Phục vụ",3,99)))</formula>
    </cfRule>
    <cfRule type="expression" priority="38" dxfId="1">
      <formula>AND(U5="x",COUNTIFS($B$5:$B5,$B5,U$5:U5,"x")&lt;=IF($B5="Pha chế",2,IF($B5="Phục vụ",3,99)))</formula>
    </cfRule>
  </conditionalFormatting>
  <conditionalFormatting sqref="V5:V20">
    <cfRule type="expression" priority="39" dxfId="0" stopIfTrue="1">
      <formula>AND(V5="x",COUNTIFS($B$5:$B5,$B5,V$5:V5,"x")&gt;IF($B5="Pha chế",2,IF($B5="Phục vụ",2,99)))</formula>
    </cfRule>
    <cfRule type="expression" priority="40" dxfId="1">
      <formula>AND(V5="x",COUNTIFS($B$5:$B5,$B5,V$5:V5,"x")&lt;=IF($B5="Pha chế",2,IF($B5="Phục vụ",2,99)))</formula>
    </cfRule>
  </conditionalFormatting>
  <conditionalFormatting sqref="W5:W20">
    <cfRule type="expression" priority="41" dxfId="0" stopIfTrue="1">
      <formula>AND(W5="x",COUNTIFS($B$5:$B5,$B5,W$5:W5,"x")&gt;IF($B5="Pha chế",2,IF($B5="Phục vụ",3,99)))</formula>
    </cfRule>
    <cfRule type="expression" priority="42" dxfId="1">
      <formula>AND(W5="x",COUNTIFS($B$5:$B5,$B5,W$5:W5,"x")&lt;=IF($B5="Pha chế",2,IF($B5="Phục vụ",3,99)))</formula>
    </cfRule>
  </conditionalFormatting>
  <dataValidations count="2">
    <dataValidation sqref="B5:B20" showDropDown="0" showInputMessage="0" showErrorMessage="0" allowBlank="1" type="list">
      <formula1>"Pha chế,Phục vụ"</formula1>
    </dataValidation>
    <dataValidation sqref="C5:W20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1" t="inlineStr">
        <is>
          <t>CÒN CHỖ MỖI BUỔI (tự cập nhật)</t>
        </is>
      </c>
    </row>
    <row r="2">
      <c r="A2" s="2" t="inlineStr">
        <is>
          <t>Số đang có / định mức. Ô đỏ = đã đủ.</t>
        </is>
      </c>
    </row>
    <row r="4">
      <c r="A4" s="12" t="inlineStr">
        <is>
          <t>Ngày</t>
        </is>
      </c>
      <c r="B4" s="12" t="inlineStr">
        <is>
          <t>Buổi</t>
        </is>
      </c>
      <c r="C4" s="12" t="inlineStr">
        <is>
          <t>Pha chế</t>
        </is>
      </c>
      <c r="D4" s="12" t="inlineStr">
        <is>
          <t>Phục vụ</t>
        </is>
      </c>
      <c r="E4" s="12" t="inlineStr">
        <is>
          <t>Giữ xe</t>
        </is>
      </c>
    </row>
    <row r="5">
      <c r="A5" s="8" t="inlineStr">
        <is>
          <t>T2</t>
        </is>
      </c>
      <c r="B5" s="8" t="inlineStr">
        <is>
          <t>Sáng</t>
        </is>
      </c>
      <c r="C5" s="8">
        <f>COUNTIFS('Đăng ký'!$B$5:$B$20,"Pha chế",'Đăng ký'!C$5:C$20,"x")&amp;"/2"</f>
        <v/>
      </c>
      <c r="D5" s="8">
        <f>COUNTIFS('Đăng ký'!$B$5:$B$20,"Phục vụ",'Đăng ký'!C$5:C$20,"x")&amp;"/3"</f>
        <v/>
      </c>
    </row>
    <row r="6">
      <c r="A6" s="8" t="inlineStr">
        <is>
          <t>T2</t>
        </is>
      </c>
      <c r="B6" s="8" t="inlineStr">
        <is>
          <t>Chiều</t>
        </is>
      </c>
      <c r="C6" s="8">
        <f>COUNTIFS('Đăng ký'!$B$5:$B$20,"Pha chế",'Đăng ký'!D$5:D$20,"x")&amp;"/2"</f>
        <v/>
      </c>
      <c r="D6" s="8">
        <f>COUNTIFS('Đăng ký'!$B$5:$B$20,"Phục vụ",'Đăng ký'!D$5:D$20,"x")&amp;"/2"</f>
        <v/>
      </c>
    </row>
    <row r="7">
      <c r="A7" s="8" t="inlineStr">
        <is>
          <t>T2</t>
        </is>
      </c>
      <c r="B7" s="8" t="inlineStr">
        <is>
          <t>Tối</t>
        </is>
      </c>
      <c r="C7" s="8">
        <f>COUNTIFS('Đăng ký'!$B$5:$B$20,"Pha chế",'Đăng ký'!E$5:E$20,"x")&amp;"/2"</f>
        <v/>
      </c>
      <c r="D7" s="8">
        <f>COUNTIFS('Đăng ký'!$B$5:$B$20,"Phục vụ",'Đăng ký'!E$5:E$20,"x")&amp;"/3"</f>
        <v/>
      </c>
    </row>
    <row r="8">
      <c r="A8" s="8" t="inlineStr">
        <is>
          <t>T3</t>
        </is>
      </c>
      <c r="B8" s="8" t="inlineStr">
        <is>
          <t>Sáng</t>
        </is>
      </c>
      <c r="C8" s="8">
        <f>COUNTIFS('Đăng ký'!$B$5:$B$20,"Pha chế",'Đăng ký'!F$5:F$20,"x")&amp;"/2"</f>
        <v/>
      </c>
      <c r="D8" s="8">
        <f>COUNTIFS('Đăng ký'!$B$5:$B$20,"Phục vụ",'Đăng ký'!F$5:F$20,"x")&amp;"/3"</f>
        <v/>
      </c>
    </row>
    <row r="9">
      <c r="A9" s="8" t="inlineStr">
        <is>
          <t>T3</t>
        </is>
      </c>
      <c r="B9" s="8" t="inlineStr">
        <is>
          <t>Chiều</t>
        </is>
      </c>
      <c r="C9" s="8">
        <f>COUNTIFS('Đăng ký'!$B$5:$B$20,"Pha chế",'Đăng ký'!G$5:G$20,"x")&amp;"/2"</f>
        <v/>
      </c>
      <c r="D9" s="8">
        <f>COUNTIFS('Đăng ký'!$B$5:$B$20,"Phục vụ",'Đăng ký'!G$5:G$20,"x")&amp;"/2"</f>
        <v/>
      </c>
    </row>
    <row r="10">
      <c r="A10" s="8" t="inlineStr">
        <is>
          <t>T3</t>
        </is>
      </c>
      <c r="B10" s="8" t="inlineStr">
        <is>
          <t>Tối</t>
        </is>
      </c>
      <c r="C10" s="8">
        <f>COUNTIFS('Đăng ký'!$B$5:$B$20,"Pha chế",'Đăng ký'!H$5:H$20,"x")&amp;"/2"</f>
        <v/>
      </c>
      <c r="D10" s="8">
        <f>COUNTIFS('Đăng ký'!$B$5:$B$20,"Phục vụ",'Đăng ký'!H$5:H$20,"x")&amp;"/3"</f>
        <v/>
      </c>
    </row>
    <row r="11">
      <c r="A11" s="8" t="inlineStr">
        <is>
          <t>T4</t>
        </is>
      </c>
      <c r="B11" s="8" t="inlineStr">
        <is>
          <t>Sáng</t>
        </is>
      </c>
      <c r="C11" s="8">
        <f>COUNTIFS('Đăng ký'!$B$5:$B$20,"Pha chế",'Đăng ký'!I$5:I$20,"x")&amp;"/2"</f>
        <v/>
      </c>
      <c r="D11" s="8">
        <f>COUNTIFS('Đăng ký'!$B$5:$B$20,"Phục vụ",'Đăng ký'!I$5:I$20,"x")&amp;"/3"</f>
        <v/>
      </c>
    </row>
    <row r="12">
      <c r="A12" s="8" t="inlineStr">
        <is>
          <t>T4</t>
        </is>
      </c>
      <c r="B12" s="8" t="inlineStr">
        <is>
          <t>Chiều</t>
        </is>
      </c>
      <c r="C12" s="8">
        <f>COUNTIFS('Đăng ký'!$B$5:$B$20,"Pha chế",'Đăng ký'!J$5:J$20,"x")&amp;"/2"</f>
        <v/>
      </c>
      <c r="D12" s="8">
        <f>COUNTIFS('Đăng ký'!$B$5:$B$20,"Phục vụ",'Đăng ký'!J$5:J$20,"x")&amp;"/2"</f>
        <v/>
      </c>
    </row>
    <row r="13">
      <c r="A13" s="8" t="inlineStr">
        <is>
          <t>T4</t>
        </is>
      </c>
      <c r="B13" s="8" t="inlineStr">
        <is>
          <t>Tối</t>
        </is>
      </c>
      <c r="C13" s="8">
        <f>COUNTIFS('Đăng ký'!$B$5:$B$20,"Pha chế",'Đăng ký'!K$5:K$20,"x")&amp;"/2"</f>
        <v/>
      </c>
      <c r="D13" s="8">
        <f>COUNTIFS('Đăng ký'!$B$5:$B$20,"Phục vụ",'Đăng ký'!K$5:K$20,"x")&amp;"/3"</f>
        <v/>
      </c>
    </row>
    <row r="14">
      <c r="A14" s="8" t="inlineStr">
        <is>
          <t>T5</t>
        </is>
      </c>
      <c r="B14" s="8" t="inlineStr">
        <is>
          <t>Sáng</t>
        </is>
      </c>
      <c r="C14" s="8">
        <f>COUNTIFS('Đăng ký'!$B$5:$B$20,"Pha chế",'Đăng ký'!L$5:L$20,"x")&amp;"/2"</f>
        <v/>
      </c>
      <c r="D14" s="8">
        <f>COUNTIFS('Đăng ký'!$B$5:$B$20,"Phục vụ",'Đăng ký'!L$5:L$20,"x")&amp;"/3"</f>
        <v/>
      </c>
    </row>
    <row r="15">
      <c r="A15" s="8" t="inlineStr">
        <is>
          <t>T5</t>
        </is>
      </c>
      <c r="B15" s="8" t="inlineStr">
        <is>
          <t>Chiều</t>
        </is>
      </c>
      <c r="C15" s="8">
        <f>COUNTIFS('Đăng ký'!$B$5:$B$20,"Pha chế",'Đăng ký'!M$5:M$20,"x")&amp;"/2"</f>
        <v/>
      </c>
      <c r="D15" s="8">
        <f>COUNTIFS('Đăng ký'!$B$5:$B$20,"Phục vụ",'Đăng ký'!M$5:M$20,"x")&amp;"/2"</f>
        <v/>
      </c>
    </row>
    <row r="16">
      <c r="A16" s="8" t="inlineStr">
        <is>
          <t>T5</t>
        </is>
      </c>
      <c r="B16" s="8" t="inlineStr">
        <is>
          <t>Tối</t>
        </is>
      </c>
      <c r="C16" s="8">
        <f>COUNTIFS('Đăng ký'!$B$5:$B$20,"Pha chế",'Đăng ký'!N$5:N$20,"x")&amp;"/2"</f>
        <v/>
      </c>
      <c r="D16" s="8">
        <f>COUNTIFS('Đăng ký'!$B$5:$B$20,"Phục vụ",'Đăng ký'!N$5:N$20,"x")&amp;"/3"</f>
        <v/>
      </c>
    </row>
    <row r="17">
      <c r="A17" s="8" t="inlineStr">
        <is>
          <t>T6</t>
        </is>
      </c>
      <c r="B17" s="8" t="inlineStr">
        <is>
          <t>Sáng</t>
        </is>
      </c>
      <c r="C17" s="8">
        <f>COUNTIFS('Đăng ký'!$B$5:$B$20,"Pha chế",'Đăng ký'!O$5:O$20,"x")&amp;"/2"</f>
        <v/>
      </c>
      <c r="D17" s="8">
        <f>COUNTIFS('Đăng ký'!$B$5:$B$20,"Phục vụ",'Đăng ký'!O$5:O$20,"x")&amp;"/3"</f>
        <v/>
      </c>
    </row>
    <row r="18">
      <c r="A18" s="8" t="inlineStr">
        <is>
          <t>T6</t>
        </is>
      </c>
      <c r="B18" s="8" t="inlineStr">
        <is>
          <t>Chiều</t>
        </is>
      </c>
      <c r="C18" s="8">
        <f>COUNTIFS('Đăng ký'!$B$5:$B$20,"Pha chế",'Đăng ký'!P$5:P$20,"x")&amp;"/2"</f>
        <v/>
      </c>
      <c r="D18" s="8">
        <f>COUNTIFS('Đăng ký'!$B$5:$B$20,"Phục vụ",'Đăng ký'!P$5:P$20,"x")&amp;"/2"</f>
        <v/>
      </c>
    </row>
    <row r="19">
      <c r="A19" s="8" t="inlineStr">
        <is>
          <t>T6</t>
        </is>
      </c>
      <c r="B19" s="8" t="inlineStr">
        <is>
          <t>Tối</t>
        </is>
      </c>
      <c r="C19" s="8">
        <f>COUNTIFS('Đăng ký'!$B$5:$B$20,"Pha chế",'Đăng ký'!Q$5:Q$20,"x")&amp;"/2"</f>
        <v/>
      </c>
      <c r="D19" s="8">
        <f>COUNTIFS('Đăng ký'!$B$5:$B$20,"Phục vụ",'Đăng ký'!Q$5:Q$20,"x")&amp;"/3"</f>
        <v/>
      </c>
    </row>
    <row r="20">
      <c r="A20" s="8" t="inlineStr">
        <is>
          <t>T7</t>
        </is>
      </c>
      <c r="B20" s="8" t="inlineStr">
        <is>
          <t>Sáng</t>
        </is>
      </c>
      <c r="C20" s="8">
        <f>COUNTIFS('Đăng ký'!$B$5:$B$20,"Pha chế",'Đăng ký'!R$5:R$20,"x")&amp;"/2"</f>
        <v/>
      </c>
      <c r="D20" s="8">
        <f>COUNTIFS('Đăng ký'!$B$5:$B$20,"Phục vụ",'Đăng ký'!R$5:R$20,"x")&amp;"/3"</f>
        <v/>
      </c>
    </row>
    <row r="21">
      <c r="A21" s="8" t="inlineStr">
        <is>
          <t>T7</t>
        </is>
      </c>
      <c r="B21" s="8" t="inlineStr">
        <is>
          <t>Chiều</t>
        </is>
      </c>
      <c r="C21" s="8">
        <f>COUNTIFS('Đăng ký'!$B$5:$B$20,"Pha chế",'Đăng ký'!S$5:S$20,"x")&amp;"/2"</f>
        <v/>
      </c>
      <c r="D21" s="8">
        <f>COUNTIFS('Đăng ký'!$B$5:$B$20,"Phục vụ",'Đăng ký'!S$5:S$20,"x")&amp;"/2"</f>
        <v/>
      </c>
    </row>
    <row r="22">
      <c r="A22" s="8" t="inlineStr">
        <is>
          <t>T7</t>
        </is>
      </c>
      <c r="B22" s="8" t="inlineStr">
        <is>
          <t>Tối</t>
        </is>
      </c>
      <c r="C22" s="8">
        <f>COUNTIFS('Đăng ký'!$B$5:$B$20,"Pha chế",'Đăng ký'!T$5:T$20,"x")&amp;"/2"</f>
        <v/>
      </c>
      <c r="D22" s="8">
        <f>COUNTIFS('Đăng ký'!$B$5:$B$20,"Phục vụ",'Đăng ký'!T$5:T$20,"x")&amp;"/3"</f>
        <v/>
      </c>
    </row>
    <row r="23">
      <c r="A23" s="8" t="inlineStr">
        <is>
          <t>CN</t>
        </is>
      </c>
      <c r="B23" s="8" t="inlineStr">
        <is>
          <t>Sáng</t>
        </is>
      </c>
      <c r="C23" s="8">
        <f>COUNTIFS('Đăng ký'!$B$5:$B$20,"Pha chế",'Đăng ký'!U$5:U$20,"x")&amp;"/2"</f>
        <v/>
      </c>
      <c r="D23" s="8">
        <f>COUNTIFS('Đăng ký'!$B$5:$B$20,"Phục vụ",'Đăng ký'!U$5:U$20,"x")&amp;"/3"</f>
        <v/>
      </c>
    </row>
    <row r="24">
      <c r="A24" s="8" t="inlineStr">
        <is>
          <t>CN</t>
        </is>
      </c>
      <c r="B24" s="8" t="inlineStr">
        <is>
          <t>Chiều</t>
        </is>
      </c>
      <c r="C24" s="8">
        <f>COUNTIFS('Đăng ký'!$B$5:$B$20,"Pha chế",'Đăng ký'!V$5:V$20,"x")&amp;"/2"</f>
        <v/>
      </c>
      <c r="D24" s="8">
        <f>COUNTIFS('Đăng ký'!$B$5:$B$20,"Phục vụ",'Đăng ký'!V$5:V$20,"x")&amp;"/2"</f>
        <v/>
      </c>
    </row>
    <row r="25">
      <c r="A25" s="8" t="inlineStr">
        <is>
          <t>CN</t>
        </is>
      </c>
      <c r="B25" s="8" t="inlineStr">
        <is>
          <t>Tối</t>
        </is>
      </c>
      <c r="C25" s="8">
        <f>COUNTIFS('Đăng ký'!$B$5:$B$20,"Pha chế",'Đăng ký'!W$5:W$20,"x")&amp;"/2"</f>
        <v/>
      </c>
      <c r="D25" s="8">
        <f>COUNTIFS('Đăng ký'!$B$5:$B$20,"Phục vụ",'Đăng ký'!W$5:W$20,"x")&amp;"/3"</f>
        <v/>
      </c>
    </row>
  </sheetData>
  <conditionalFormatting sqref="C5">
    <cfRule type="expression" priority="1" dxfId="0">
      <formula>COUNTIFS('Đăng ký'!$B$5:$B$20,"Pha chế",'Đăng ký'!C$5:C$20,"x")&gt;=2</formula>
    </cfRule>
  </conditionalFormatting>
  <conditionalFormatting sqref="D5">
    <cfRule type="expression" priority="2" dxfId="0">
      <formula>COUNTIFS('Đăng ký'!$B$5:$B$20,"Phục vụ",'Đăng ký'!C$5:C$20,"x")&gt;=3</formula>
    </cfRule>
  </conditionalFormatting>
  <conditionalFormatting sqref="C6">
    <cfRule type="expression" priority="3" dxfId="0">
      <formula>COUNTIFS('Đăng ký'!$B$5:$B$20,"Pha chế",'Đăng ký'!D$5:D$20,"x")&gt;=2</formula>
    </cfRule>
  </conditionalFormatting>
  <conditionalFormatting sqref="D6">
    <cfRule type="expression" priority="4" dxfId="0">
      <formula>COUNTIFS('Đăng ký'!$B$5:$B$20,"Phục vụ",'Đăng ký'!D$5:D$20,"x")&gt;=2</formula>
    </cfRule>
  </conditionalFormatting>
  <conditionalFormatting sqref="C7">
    <cfRule type="expression" priority="5" dxfId="0">
      <formula>COUNTIFS('Đăng ký'!$B$5:$B$20,"Pha chế",'Đăng ký'!E$5:E$20,"x")&gt;=2</formula>
    </cfRule>
  </conditionalFormatting>
  <conditionalFormatting sqref="D7">
    <cfRule type="expression" priority="6" dxfId="0">
      <formula>COUNTIFS('Đăng ký'!$B$5:$B$20,"Phục vụ",'Đăng ký'!E$5:E$20,"x")&gt;=3</formula>
    </cfRule>
  </conditionalFormatting>
  <conditionalFormatting sqref="C8">
    <cfRule type="expression" priority="7" dxfId="0">
      <formula>COUNTIFS('Đăng ký'!$B$5:$B$20,"Pha chế",'Đăng ký'!F$5:F$20,"x")&gt;=2</formula>
    </cfRule>
  </conditionalFormatting>
  <conditionalFormatting sqref="D8">
    <cfRule type="expression" priority="8" dxfId="0">
      <formula>COUNTIFS('Đăng ký'!$B$5:$B$20,"Phục vụ",'Đăng ký'!F$5:F$20,"x")&gt;=3</formula>
    </cfRule>
  </conditionalFormatting>
  <conditionalFormatting sqref="C9">
    <cfRule type="expression" priority="9" dxfId="0">
      <formula>COUNTIFS('Đăng ký'!$B$5:$B$20,"Pha chế",'Đăng ký'!G$5:G$20,"x")&gt;=2</formula>
    </cfRule>
  </conditionalFormatting>
  <conditionalFormatting sqref="D9">
    <cfRule type="expression" priority="10" dxfId="0">
      <formula>COUNTIFS('Đăng ký'!$B$5:$B$20,"Phục vụ",'Đăng ký'!G$5:G$20,"x")&gt;=2</formula>
    </cfRule>
  </conditionalFormatting>
  <conditionalFormatting sqref="C10">
    <cfRule type="expression" priority="11" dxfId="0">
      <formula>COUNTIFS('Đăng ký'!$B$5:$B$20,"Pha chế",'Đăng ký'!H$5:H$20,"x")&gt;=2</formula>
    </cfRule>
  </conditionalFormatting>
  <conditionalFormatting sqref="D10">
    <cfRule type="expression" priority="12" dxfId="0">
      <formula>COUNTIFS('Đăng ký'!$B$5:$B$20,"Phục vụ",'Đăng ký'!H$5:H$20,"x")&gt;=3</formula>
    </cfRule>
  </conditionalFormatting>
  <conditionalFormatting sqref="C11">
    <cfRule type="expression" priority="13" dxfId="0">
      <formula>COUNTIFS('Đăng ký'!$B$5:$B$20,"Pha chế",'Đăng ký'!I$5:I$20,"x")&gt;=2</formula>
    </cfRule>
  </conditionalFormatting>
  <conditionalFormatting sqref="D11">
    <cfRule type="expression" priority="14" dxfId="0">
      <formula>COUNTIFS('Đăng ký'!$B$5:$B$20,"Phục vụ",'Đăng ký'!I$5:I$20,"x")&gt;=3</formula>
    </cfRule>
  </conditionalFormatting>
  <conditionalFormatting sqref="C12">
    <cfRule type="expression" priority="15" dxfId="0">
      <formula>COUNTIFS('Đăng ký'!$B$5:$B$20,"Pha chế",'Đăng ký'!J$5:J$20,"x")&gt;=2</formula>
    </cfRule>
  </conditionalFormatting>
  <conditionalFormatting sqref="D12">
    <cfRule type="expression" priority="16" dxfId="0">
      <formula>COUNTIFS('Đăng ký'!$B$5:$B$20,"Phục vụ",'Đăng ký'!J$5:J$20,"x")&gt;=2</formula>
    </cfRule>
  </conditionalFormatting>
  <conditionalFormatting sqref="C13">
    <cfRule type="expression" priority="17" dxfId="0">
      <formula>COUNTIFS('Đăng ký'!$B$5:$B$20,"Pha chế",'Đăng ký'!K$5:K$20,"x")&gt;=2</formula>
    </cfRule>
  </conditionalFormatting>
  <conditionalFormatting sqref="D13">
    <cfRule type="expression" priority="18" dxfId="0">
      <formula>COUNTIFS('Đăng ký'!$B$5:$B$20,"Phục vụ",'Đăng ký'!K$5:K$20,"x")&gt;=3</formula>
    </cfRule>
  </conditionalFormatting>
  <conditionalFormatting sqref="C14">
    <cfRule type="expression" priority="19" dxfId="0">
      <formula>COUNTIFS('Đăng ký'!$B$5:$B$20,"Pha chế",'Đăng ký'!L$5:L$20,"x")&gt;=2</formula>
    </cfRule>
  </conditionalFormatting>
  <conditionalFormatting sqref="D14">
    <cfRule type="expression" priority="20" dxfId="0">
      <formula>COUNTIFS('Đăng ký'!$B$5:$B$20,"Phục vụ",'Đăng ký'!L$5:L$20,"x")&gt;=3</formula>
    </cfRule>
  </conditionalFormatting>
  <conditionalFormatting sqref="C15">
    <cfRule type="expression" priority="21" dxfId="0">
      <formula>COUNTIFS('Đăng ký'!$B$5:$B$20,"Pha chế",'Đăng ký'!M$5:M$20,"x")&gt;=2</formula>
    </cfRule>
  </conditionalFormatting>
  <conditionalFormatting sqref="D15">
    <cfRule type="expression" priority="22" dxfId="0">
      <formula>COUNTIFS('Đăng ký'!$B$5:$B$20,"Phục vụ",'Đăng ký'!M$5:M$20,"x")&gt;=2</formula>
    </cfRule>
  </conditionalFormatting>
  <conditionalFormatting sqref="C16">
    <cfRule type="expression" priority="23" dxfId="0">
      <formula>COUNTIFS('Đăng ký'!$B$5:$B$20,"Pha chế",'Đăng ký'!N$5:N$20,"x")&gt;=2</formula>
    </cfRule>
  </conditionalFormatting>
  <conditionalFormatting sqref="D16">
    <cfRule type="expression" priority="24" dxfId="0">
      <formula>COUNTIFS('Đăng ký'!$B$5:$B$20,"Phục vụ",'Đăng ký'!N$5:N$20,"x")&gt;=3</formula>
    </cfRule>
  </conditionalFormatting>
  <conditionalFormatting sqref="C17">
    <cfRule type="expression" priority="25" dxfId="0">
      <formula>COUNTIFS('Đăng ký'!$B$5:$B$20,"Pha chế",'Đăng ký'!O$5:O$20,"x")&gt;=2</formula>
    </cfRule>
  </conditionalFormatting>
  <conditionalFormatting sqref="D17">
    <cfRule type="expression" priority="26" dxfId="0">
      <formula>COUNTIFS('Đăng ký'!$B$5:$B$20,"Phục vụ",'Đăng ký'!O$5:O$20,"x")&gt;=3</formula>
    </cfRule>
  </conditionalFormatting>
  <conditionalFormatting sqref="C18">
    <cfRule type="expression" priority="27" dxfId="0">
      <formula>COUNTIFS('Đăng ký'!$B$5:$B$20,"Pha chế",'Đăng ký'!P$5:P$20,"x")&gt;=2</formula>
    </cfRule>
  </conditionalFormatting>
  <conditionalFormatting sqref="D18">
    <cfRule type="expression" priority="28" dxfId="0">
      <formula>COUNTIFS('Đăng ký'!$B$5:$B$20,"Phục vụ",'Đăng ký'!P$5:P$20,"x")&gt;=2</formula>
    </cfRule>
  </conditionalFormatting>
  <conditionalFormatting sqref="C19">
    <cfRule type="expression" priority="29" dxfId="0">
      <formula>COUNTIFS('Đăng ký'!$B$5:$B$20,"Pha chế",'Đăng ký'!Q$5:Q$20,"x")&gt;=2</formula>
    </cfRule>
  </conditionalFormatting>
  <conditionalFormatting sqref="D19">
    <cfRule type="expression" priority="30" dxfId="0">
      <formula>COUNTIFS('Đăng ký'!$B$5:$B$20,"Phục vụ",'Đăng ký'!Q$5:Q$20,"x")&gt;=3</formula>
    </cfRule>
  </conditionalFormatting>
  <conditionalFormatting sqref="C20">
    <cfRule type="expression" priority="31" dxfId="0">
      <formula>COUNTIFS('Đăng ký'!$B$5:$B$20,"Pha chế",'Đăng ký'!R$5:R$20,"x")&gt;=2</formula>
    </cfRule>
  </conditionalFormatting>
  <conditionalFormatting sqref="D20">
    <cfRule type="expression" priority="32" dxfId="0">
      <formula>COUNTIFS('Đăng ký'!$B$5:$B$20,"Phục vụ",'Đăng ký'!R$5:R$20,"x")&gt;=3</formula>
    </cfRule>
  </conditionalFormatting>
  <conditionalFormatting sqref="C21">
    <cfRule type="expression" priority="33" dxfId="0">
      <formula>COUNTIFS('Đăng ký'!$B$5:$B$20,"Pha chế",'Đăng ký'!S$5:S$20,"x")&gt;=2</formula>
    </cfRule>
  </conditionalFormatting>
  <conditionalFormatting sqref="D21">
    <cfRule type="expression" priority="34" dxfId="0">
      <formula>COUNTIFS('Đăng ký'!$B$5:$B$20,"Phục vụ",'Đăng ký'!S$5:S$20,"x")&gt;=2</formula>
    </cfRule>
  </conditionalFormatting>
  <conditionalFormatting sqref="C22">
    <cfRule type="expression" priority="35" dxfId="0">
      <formula>COUNTIFS('Đăng ký'!$B$5:$B$20,"Pha chế",'Đăng ký'!T$5:T$20,"x")&gt;=2</formula>
    </cfRule>
  </conditionalFormatting>
  <conditionalFormatting sqref="D22">
    <cfRule type="expression" priority="36" dxfId="0">
      <formula>COUNTIFS('Đăng ký'!$B$5:$B$20,"Phục vụ",'Đăng ký'!T$5:T$20,"x")&gt;=3</formula>
    </cfRule>
  </conditionalFormatting>
  <conditionalFormatting sqref="C23">
    <cfRule type="expression" priority="37" dxfId="0">
      <formula>COUNTIFS('Đăng ký'!$B$5:$B$20,"Pha chế",'Đăng ký'!U$5:U$20,"x")&gt;=2</formula>
    </cfRule>
  </conditionalFormatting>
  <conditionalFormatting sqref="D23">
    <cfRule type="expression" priority="38" dxfId="0">
      <formula>COUNTIFS('Đăng ký'!$B$5:$B$20,"Phục vụ",'Đăng ký'!U$5:U$20,"x")&gt;=3</formula>
    </cfRule>
  </conditionalFormatting>
  <conditionalFormatting sqref="C24">
    <cfRule type="expression" priority="39" dxfId="0">
      <formula>COUNTIFS('Đăng ký'!$B$5:$B$20,"Pha chế",'Đăng ký'!V$5:V$20,"x")&gt;=2</formula>
    </cfRule>
  </conditionalFormatting>
  <conditionalFormatting sqref="D24">
    <cfRule type="expression" priority="40" dxfId="0">
      <formula>COUNTIFS('Đăng ký'!$B$5:$B$20,"Phục vụ",'Đăng ký'!V$5:V$20,"x")&gt;=2</formula>
    </cfRule>
  </conditionalFormatting>
  <conditionalFormatting sqref="C25">
    <cfRule type="expression" priority="41" dxfId="0">
      <formula>COUNTIFS('Đăng ký'!$B$5:$B$20,"Pha chế",'Đăng ký'!W$5:W$20,"x")&gt;=2</formula>
    </cfRule>
  </conditionalFormatting>
  <conditionalFormatting sqref="D25">
    <cfRule type="expression" priority="42" dxfId="0">
      <formula>COUNTIFS('Đăng ký'!$B$5:$B$20,"Phục vụ",'Đăng ký'!W$5:W$20,"x")&gt;=3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2026-07-15T09:38:03Z</dcterms:created>
  <dcterms:modified xsi:type="dcterms:W3CDTF">2026-07-15T09:38:03Z</dcterms:modified>
</cp:coreProperties>
</file>