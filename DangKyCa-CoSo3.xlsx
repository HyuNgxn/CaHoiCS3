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Đăng ký" sheetId="1" state="visible" r:id="rId1"/>
    <sheet name="Số bạn rảnh"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9A461C"/>
      <sz val="16"/>
    </font>
    <font>
      <i val="1"/>
      <color rgb="006B5B4C"/>
      <sz val="10"/>
    </font>
    <font>
      <b val="1"/>
      <color rgb="006B5B4C"/>
      <sz val="10"/>
    </font>
    <font>
      <b val="1"/>
      <color rgb="003A2A1E"/>
    </font>
    <font>
      <b val="1"/>
      <color rgb="003A2A1E"/>
      <sz val="10"/>
    </font>
    <font>
      <b val="1"/>
      <color rgb="009A461C"/>
      <sz val="14"/>
    </font>
  </fonts>
  <fills count="5">
    <fill>
      <patternFill/>
    </fill>
    <fill>
      <patternFill patternType="gray125"/>
    </fill>
    <fill>
      <patternFill patternType="solid">
        <fgColor rgb="00FBF5EC"/>
      </patternFill>
    </fill>
    <fill>
      <patternFill patternType="solid">
        <fgColor rgb="00FBF3E6"/>
      </patternFill>
    </fill>
    <fill>
      <patternFill patternType="solid">
        <fgColor rgb="00F3E7D6"/>
      </patternFill>
    </fill>
  </fills>
  <borders count="2">
    <border>
      <left/>
      <right/>
      <top/>
      <bottom/>
      <diagonal/>
    </border>
    <border>
      <left style="thin">
        <color rgb="00E3D6C4"/>
      </left>
      <right style="thin">
        <color rgb="00E3D6C4"/>
      </right>
      <top style="thin">
        <color rgb="00E3D6C4"/>
      </top>
      <bottom style="thin">
        <color rgb="00E3D6C4"/>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0" fontId="5"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0" fillId="0" borderId="1" pivotButton="0" quotePrefix="0" xfId="0"/>
    <xf numFmtId="0" fontId="0" fillId="0" borderId="1" applyAlignment="1" pivotButton="0" quotePrefix="0" xfId="0">
      <alignment horizontal="center"/>
    </xf>
    <xf numFmtId="0" fontId="0" fillId="3" borderId="1" applyAlignment="1" pivotButton="0" quotePrefix="0" xfId="0">
      <alignment horizontal="center"/>
    </xf>
    <xf numFmtId="0" fontId="0" fillId="4" borderId="1" applyAlignment="1" pivotButton="0" quotePrefix="0" xfId="0">
      <alignment horizontal="center"/>
    </xf>
    <xf numFmtId="0" fontId="6" fillId="0" borderId="0" pivotButton="0" quotePrefix="0" xfId="0"/>
    <xf numFmtId="0" fontId="4" fillId="2" borderId="1" applyAlignment="1" pivotButton="0" quotePrefix="0" xfId="0">
      <alignment horizontal="center"/>
    </xf>
  </cellXfs>
  <cellStyles count="1">
    <cellStyle name="Normal" xfId="0" builtinId="0" hidden="0"/>
  </cellStyles>
  <dxfs count="2">
    <dxf>
      <fill>
        <patternFill patternType="solid">
          <fgColor rgb="00CDE9D5"/>
        </patternFill>
      </fill>
    </dxf>
    <dxf>
      <fill>
        <patternFill patternType="solid">
          <fgColor rgb="00F6C6C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0"/>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6" customWidth="1" min="1" max="1"/>
    <col width="12" customWidth="1" min="2" max="2"/>
    <col width="8.5" customWidth="1" min="3" max="3"/>
    <col width="8.5" customWidth="1" min="4" max="4"/>
    <col width="8.5" customWidth="1" min="5" max="5"/>
    <col width="8.5" customWidth="1" min="6" max="6"/>
    <col width="8.5" customWidth="1" min="7" max="7"/>
    <col width="8.5" customWidth="1" min="8" max="8"/>
    <col width="8.5" customWidth="1" min="9" max="9"/>
    <col width="8.5" customWidth="1" min="10" max="10"/>
    <col width="8.5" customWidth="1" min="11" max="11"/>
    <col width="8.5" customWidth="1" min="12" max="12"/>
    <col width="8.5" customWidth="1" min="13" max="13"/>
    <col width="8.5" customWidth="1" min="14" max="14"/>
    <col width="8.5" customWidth="1" min="15" max="15"/>
    <col width="8.5" customWidth="1" min="16" max="16"/>
    <col width="8.5" customWidth="1" min="17" max="17"/>
    <col width="8.5" customWidth="1" min="18" max="18"/>
    <col width="8.5" customWidth="1" min="19" max="19"/>
    <col width="8.5" customWidth="1" min="20" max="20"/>
    <col width="8.5" customWidth="1" min="21" max="21"/>
    <col width="8.5" customWidth="1" min="22" max="22"/>
    <col width="8.5" customWidth="1" min="23" max="23"/>
  </cols>
  <sheetData>
    <row r="1">
      <c r="A1" s="1" t="inlineStr">
        <is>
          <t>ĐĂNG KÝ BUỔI RẢNH — CƠ SỞ 3</t>
        </is>
      </c>
    </row>
    <row r="2">
      <c r="A2" s="2" t="inlineStr">
        <is>
          <t>Điền chữ  x  vào MỌI buổi bạn ĐI LÀM ĐƯỢC (rảnh). Càng đăng ký nhiều buổi rảnh, càng dễ được xếp đủ ca. App sẽ tự chia cân bằng và ưu tiên người ít ca — không phải ai điền trước.</t>
        </is>
      </c>
    </row>
    <row r="3">
      <c r="A3" s="3" t="inlineStr">
        <is>
          <t>Ô XANH = đã đăng ký rảnh.  Người giữ xe do chủ quán chọn trong app.</t>
        </is>
      </c>
    </row>
    <row r="4" ht="30" customHeight="1">
      <c r="A4" s="4" t="inlineStr">
        <is>
          <t>Tên</t>
        </is>
      </c>
      <c r="B4" s="4" t="inlineStr">
        <is>
          <t>Vị trí</t>
        </is>
      </c>
      <c r="C4" s="5" t="inlineStr">
        <is>
          <t>T2 Sáng</t>
        </is>
      </c>
      <c r="D4" s="5" t="inlineStr">
        <is>
          <t>T2 Chiều</t>
        </is>
      </c>
      <c r="E4" s="5" t="inlineStr">
        <is>
          <t>T2 Tối</t>
        </is>
      </c>
      <c r="F4" s="6" t="inlineStr">
        <is>
          <t>T3 Sáng</t>
        </is>
      </c>
      <c r="G4" s="6" t="inlineStr">
        <is>
          <t>T3 Chiều</t>
        </is>
      </c>
      <c r="H4" s="6" t="inlineStr">
        <is>
          <t>T3 Tối</t>
        </is>
      </c>
      <c r="I4" s="5" t="inlineStr">
        <is>
          <t>T4 Sáng</t>
        </is>
      </c>
      <c r="J4" s="5" t="inlineStr">
        <is>
          <t>T4 Chiều</t>
        </is>
      </c>
      <c r="K4" s="5" t="inlineStr">
        <is>
          <t>T4 Tối</t>
        </is>
      </c>
      <c r="L4" s="6" t="inlineStr">
        <is>
          <t>T5 Sáng</t>
        </is>
      </c>
      <c r="M4" s="6" t="inlineStr">
        <is>
          <t>T5 Chiều</t>
        </is>
      </c>
      <c r="N4" s="6" t="inlineStr">
        <is>
          <t>T5 Tối</t>
        </is>
      </c>
      <c r="O4" s="5" t="inlineStr">
        <is>
          <t>T6 Sáng</t>
        </is>
      </c>
      <c r="P4" s="5" t="inlineStr">
        <is>
          <t>T6 Chiều</t>
        </is>
      </c>
      <c r="Q4" s="5" t="inlineStr">
        <is>
          <t>T6 Tối</t>
        </is>
      </c>
      <c r="R4" s="6" t="inlineStr">
        <is>
          <t>T7 Sáng</t>
        </is>
      </c>
      <c r="S4" s="6" t="inlineStr">
        <is>
          <t>T7 Chiều</t>
        </is>
      </c>
      <c r="T4" s="6" t="inlineStr">
        <is>
          <t>T7 Tối</t>
        </is>
      </c>
      <c r="U4" s="5" t="inlineStr">
        <is>
          <t>CN Sáng</t>
        </is>
      </c>
      <c r="V4" s="5" t="inlineStr">
        <is>
          <t>CN Chiều</t>
        </is>
      </c>
      <c r="W4" s="5" t="inlineStr">
        <is>
          <t>CN Tối</t>
        </is>
      </c>
    </row>
    <row r="5">
      <c r="A5" s="7" t="n"/>
      <c r="B5" s="8" t="n"/>
      <c r="C5" s="9" t="n"/>
      <c r="D5" s="9" t="n"/>
      <c r="E5" s="9" t="n"/>
      <c r="F5" s="10" t="n"/>
      <c r="G5" s="10" t="n"/>
      <c r="H5" s="10" t="n"/>
      <c r="I5" s="9" t="n"/>
      <c r="J5" s="9" t="n"/>
      <c r="K5" s="9" t="n"/>
      <c r="L5" s="10" t="n"/>
      <c r="M5" s="10" t="n"/>
      <c r="N5" s="10" t="n"/>
      <c r="O5" s="9" t="n"/>
      <c r="P5" s="9" t="n"/>
      <c r="Q5" s="9" t="n"/>
      <c r="R5" s="10" t="n"/>
      <c r="S5" s="10" t="n"/>
      <c r="T5" s="10" t="n"/>
      <c r="U5" s="9" t="n"/>
      <c r="V5" s="9" t="n"/>
      <c r="W5" s="9" t="n"/>
    </row>
    <row r="6">
      <c r="A6" s="7" t="n"/>
      <c r="B6" s="8" t="n"/>
      <c r="C6" s="9" t="n"/>
      <c r="D6" s="9" t="n"/>
      <c r="E6" s="9" t="n"/>
      <c r="F6" s="10" t="n"/>
      <c r="G6" s="10" t="n"/>
      <c r="H6" s="10" t="n"/>
      <c r="I6" s="9" t="n"/>
      <c r="J6" s="9" t="n"/>
      <c r="K6" s="9" t="n"/>
      <c r="L6" s="10" t="n"/>
      <c r="M6" s="10" t="n"/>
      <c r="N6" s="10" t="n"/>
      <c r="O6" s="9" t="n"/>
      <c r="P6" s="9" t="n"/>
      <c r="Q6" s="9" t="n"/>
      <c r="R6" s="10" t="n"/>
      <c r="S6" s="10" t="n"/>
      <c r="T6" s="10" t="n"/>
      <c r="U6" s="9" t="n"/>
      <c r="V6" s="9" t="n"/>
      <c r="W6" s="9" t="n"/>
    </row>
    <row r="7">
      <c r="A7" s="7" t="n"/>
      <c r="B7" s="8" t="n"/>
      <c r="C7" s="9" t="n"/>
      <c r="D7" s="9" t="n"/>
      <c r="E7" s="9" t="n"/>
      <c r="F7" s="10" t="n"/>
      <c r="G7" s="10" t="n"/>
      <c r="H7" s="10" t="n"/>
      <c r="I7" s="9" t="n"/>
      <c r="J7" s="9" t="n"/>
      <c r="K7" s="9" t="n"/>
      <c r="L7" s="10" t="n"/>
      <c r="M7" s="10" t="n"/>
      <c r="N7" s="10" t="n"/>
      <c r="O7" s="9" t="n"/>
      <c r="P7" s="9" t="n"/>
      <c r="Q7" s="9" t="n"/>
      <c r="R7" s="10" t="n"/>
      <c r="S7" s="10" t="n"/>
      <c r="T7" s="10" t="n"/>
      <c r="U7" s="9" t="n"/>
      <c r="V7" s="9" t="n"/>
      <c r="W7" s="9" t="n"/>
    </row>
    <row r="8">
      <c r="A8" s="7" t="n"/>
      <c r="B8" s="8" t="n"/>
      <c r="C8" s="9" t="n"/>
      <c r="D8" s="9" t="n"/>
      <c r="E8" s="9" t="n"/>
      <c r="F8" s="10" t="n"/>
      <c r="G8" s="10" t="n"/>
      <c r="H8" s="10" t="n"/>
      <c r="I8" s="9" t="n"/>
      <c r="J8" s="9" t="n"/>
      <c r="K8" s="9" t="n"/>
      <c r="L8" s="10" t="n"/>
      <c r="M8" s="10" t="n"/>
      <c r="N8" s="10" t="n"/>
      <c r="O8" s="9" t="n"/>
      <c r="P8" s="9" t="n"/>
      <c r="Q8" s="9" t="n"/>
      <c r="R8" s="10" t="n"/>
      <c r="S8" s="10" t="n"/>
      <c r="T8" s="10" t="n"/>
      <c r="U8" s="9" t="n"/>
      <c r="V8" s="9" t="n"/>
      <c r="W8" s="9" t="n"/>
    </row>
    <row r="9">
      <c r="A9" s="7" t="n"/>
      <c r="B9" s="8" t="n"/>
      <c r="C9" s="9" t="n"/>
      <c r="D9" s="9" t="n"/>
      <c r="E9" s="9" t="n"/>
      <c r="F9" s="10" t="n"/>
      <c r="G9" s="10" t="n"/>
      <c r="H9" s="10" t="n"/>
      <c r="I9" s="9" t="n"/>
      <c r="J9" s="9" t="n"/>
      <c r="K9" s="9" t="n"/>
      <c r="L9" s="10" t="n"/>
      <c r="M9" s="10" t="n"/>
      <c r="N9" s="10" t="n"/>
      <c r="O9" s="9" t="n"/>
      <c r="P9" s="9" t="n"/>
      <c r="Q9" s="9" t="n"/>
      <c r="R9" s="10" t="n"/>
      <c r="S9" s="10" t="n"/>
      <c r="T9" s="10" t="n"/>
      <c r="U9" s="9" t="n"/>
      <c r="V9" s="9" t="n"/>
      <c r="W9" s="9" t="n"/>
    </row>
    <row r="10">
      <c r="A10" s="7" t="n"/>
      <c r="B10" s="8" t="n"/>
      <c r="C10" s="9" t="n"/>
      <c r="D10" s="9" t="n"/>
      <c r="E10" s="9" t="n"/>
      <c r="F10" s="10" t="n"/>
      <c r="G10" s="10" t="n"/>
      <c r="H10" s="10" t="n"/>
      <c r="I10" s="9" t="n"/>
      <c r="J10" s="9" t="n"/>
      <c r="K10" s="9" t="n"/>
      <c r="L10" s="10" t="n"/>
      <c r="M10" s="10" t="n"/>
      <c r="N10" s="10" t="n"/>
      <c r="O10" s="9" t="n"/>
      <c r="P10" s="9" t="n"/>
      <c r="Q10" s="9" t="n"/>
      <c r="R10" s="10" t="n"/>
      <c r="S10" s="10" t="n"/>
      <c r="T10" s="10" t="n"/>
      <c r="U10" s="9" t="n"/>
      <c r="V10" s="9" t="n"/>
      <c r="W10" s="9" t="n"/>
    </row>
    <row r="11">
      <c r="A11" s="7" t="n"/>
      <c r="B11" s="8" t="n"/>
      <c r="C11" s="9" t="n"/>
      <c r="D11" s="9" t="n"/>
      <c r="E11" s="9" t="n"/>
      <c r="F11" s="10" t="n"/>
      <c r="G11" s="10" t="n"/>
      <c r="H11" s="10" t="n"/>
      <c r="I11" s="9" t="n"/>
      <c r="J11" s="9" t="n"/>
      <c r="K11" s="9" t="n"/>
      <c r="L11" s="10" t="n"/>
      <c r="M11" s="10" t="n"/>
      <c r="N11" s="10" t="n"/>
      <c r="O11" s="9" t="n"/>
      <c r="P11" s="9" t="n"/>
      <c r="Q11" s="9" t="n"/>
      <c r="R11" s="10" t="n"/>
      <c r="S11" s="10" t="n"/>
      <c r="T11" s="10" t="n"/>
      <c r="U11" s="9" t="n"/>
      <c r="V11" s="9" t="n"/>
      <c r="W11" s="9" t="n"/>
    </row>
    <row r="12">
      <c r="A12" s="7" t="n"/>
      <c r="B12" s="8" t="n"/>
      <c r="C12" s="9" t="n"/>
      <c r="D12" s="9" t="n"/>
      <c r="E12" s="9" t="n"/>
      <c r="F12" s="10" t="n"/>
      <c r="G12" s="10" t="n"/>
      <c r="H12" s="10" t="n"/>
      <c r="I12" s="9" t="n"/>
      <c r="J12" s="9" t="n"/>
      <c r="K12" s="9" t="n"/>
      <c r="L12" s="10" t="n"/>
      <c r="M12" s="10" t="n"/>
      <c r="N12" s="10" t="n"/>
      <c r="O12" s="9" t="n"/>
      <c r="P12" s="9" t="n"/>
      <c r="Q12" s="9" t="n"/>
      <c r="R12" s="10" t="n"/>
      <c r="S12" s="10" t="n"/>
      <c r="T12" s="10" t="n"/>
      <c r="U12" s="9" t="n"/>
      <c r="V12" s="9" t="n"/>
      <c r="W12" s="9" t="n"/>
    </row>
    <row r="13">
      <c r="A13" s="7" t="n"/>
      <c r="B13" s="8" t="n"/>
      <c r="C13" s="9" t="n"/>
      <c r="D13" s="9" t="n"/>
      <c r="E13" s="9" t="n"/>
      <c r="F13" s="10" t="n"/>
      <c r="G13" s="10" t="n"/>
      <c r="H13" s="10" t="n"/>
      <c r="I13" s="9" t="n"/>
      <c r="J13" s="9" t="n"/>
      <c r="K13" s="9" t="n"/>
      <c r="L13" s="10" t="n"/>
      <c r="M13" s="10" t="n"/>
      <c r="N13" s="10" t="n"/>
      <c r="O13" s="9" t="n"/>
      <c r="P13" s="9" t="n"/>
      <c r="Q13" s="9" t="n"/>
      <c r="R13" s="10" t="n"/>
      <c r="S13" s="10" t="n"/>
      <c r="T13" s="10" t="n"/>
      <c r="U13" s="9" t="n"/>
      <c r="V13" s="9" t="n"/>
      <c r="W13" s="9" t="n"/>
    </row>
    <row r="14">
      <c r="A14" s="7" t="n"/>
      <c r="B14" s="8" t="n"/>
      <c r="C14" s="9" t="n"/>
      <c r="D14" s="9" t="n"/>
      <c r="E14" s="9" t="n"/>
      <c r="F14" s="10" t="n"/>
      <c r="G14" s="10" t="n"/>
      <c r="H14" s="10" t="n"/>
      <c r="I14" s="9" t="n"/>
      <c r="J14" s="9" t="n"/>
      <c r="K14" s="9" t="n"/>
      <c r="L14" s="10" t="n"/>
      <c r="M14" s="10" t="n"/>
      <c r="N14" s="10" t="n"/>
      <c r="O14" s="9" t="n"/>
      <c r="P14" s="9" t="n"/>
      <c r="Q14" s="9" t="n"/>
      <c r="R14" s="10" t="n"/>
      <c r="S14" s="10" t="n"/>
      <c r="T14" s="10" t="n"/>
      <c r="U14" s="9" t="n"/>
      <c r="V14" s="9" t="n"/>
      <c r="W14" s="9" t="n"/>
    </row>
    <row r="15">
      <c r="A15" s="7" t="n"/>
      <c r="B15" s="8" t="n"/>
      <c r="C15" s="9" t="n"/>
      <c r="D15" s="9" t="n"/>
      <c r="E15" s="9" t="n"/>
      <c r="F15" s="10" t="n"/>
      <c r="G15" s="10" t="n"/>
      <c r="H15" s="10" t="n"/>
      <c r="I15" s="9" t="n"/>
      <c r="J15" s="9" t="n"/>
      <c r="K15" s="9" t="n"/>
      <c r="L15" s="10" t="n"/>
      <c r="M15" s="10" t="n"/>
      <c r="N15" s="10" t="n"/>
      <c r="O15" s="9" t="n"/>
      <c r="P15" s="9" t="n"/>
      <c r="Q15" s="9" t="n"/>
      <c r="R15" s="10" t="n"/>
      <c r="S15" s="10" t="n"/>
      <c r="T15" s="10" t="n"/>
      <c r="U15" s="9" t="n"/>
      <c r="V15" s="9" t="n"/>
      <c r="W15" s="9" t="n"/>
    </row>
    <row r="16">
      <c r="A16" s="7" t="n"/>
      <c r="B16" s="8" t="n"/>
      <c r="C16" s="9" t="n"/>
      <c r="D16" s="9" t="n"/>
      <c r="E16" s="9" t="n"/>
      <c r="F16" s="10" t="n"/>
      <c r="G16" s="10" t="n"/>
      <c r="H16" s="10" t="n"/>
      <c r="I16" s="9" t="n"/>
      <c r="J16" s="9" t="n"/>
      <c r="K16" s="9" t="n"/>
      <c r="L16" s="10" t="n"/>
      <c r="M16" s="10" t="n"/>
      <c r="N16" s="10" t="n"/>
      <c r="O16" s="9" t="n"/>
      <c r="P16" s="9" t="n"/>
      <c r="Q16" s="9" t="n"/>
      <c r="R16" s="10" t="n"/>
      <c r="S16" s="10" t="n"/>
      <c r="T16" s="10" t="n"/>
      <c r="U16" s="9" t="n"/>
      <c r="V16" s="9" t="n"/>
      <c r="W16" s="9" t="n"/>
    </row>
    <row r="17">
      <c r="A17" s="7" t="n"/>
      <c r="B17" s="8" t="n"/>
      <c r="C17" s="9" t="n"/>
      <c r="D17" s="9" t="n"/>
      <c r="E17" s="9" t="n"/>
      <c r="F17" s="10" t="n"/>
      <c r="G17" s="10" t="n"/>
      <c r="H17" s="10" t="n"/>
      <c r="I17" s="9" t="n"/>
      <c r="J17" s="9" t="n"/>
      <c r="K17" s="9" t="n"/>
      <c r="L17" s="10" t="n"/>
      <c r="M17" s="10" t="n"/>
      <c r="N17" s="10" t="n"/>
      <c r="O17" s="9" t="n"/>
      <c r="P17" s="9" t="n"/>
      <c r="Q17" s="9" t="n"/>
      <c r="R17" s="10" t="n"/>
      <c r="S17" s="10" t="n"/>
      <c r="T17" s="10" t="n"/>
      <c r="U17" s="9" t="n"/>
      <c r="V17" s="9" t="n"/>
      <c r="W17" s="9" t="n"/>
    </row>
    <row r="18">
      <c r="A18" s="7" t="n"/>
      <c r="B18" s="8" t="n"/>
      <c r="C18" s="9" t="n"/>
      <c r="D18" s="9" t="n"/>
      <c r="E18" s="9" t="n"/>
      <c r="F18" s="10" t="n"/>
      <c r="G18" s="10" t="n"/>
      <c r="H18" s="10" t="n"/>
      <c r="I18" s="9" t="n"/>
      <c r="J18" s="9" t="n"/>
      <c r="K18" s="9" t="n"/>
      <c r="L18" s="10" t="n"/>
      <c r="M18" s="10" t="n"/>
      <c r="N18" s="10" t="n"/>
      <c r="O18" s="9" t="n"/>
      <c r="P18" s="9" t="n"/>
      <c r="Q18" s="9" t="n"/>
      <c r="R18" s="10" t="n"/>
      <c r="S18" s="10" t="n"/>
      <c r="T18" s="10" t="n"/>
      <c r="U18" s="9" t="n"/>
      <c r="V18" s="9" t="n"/>
      <c r="W18" s="9" t="n"/>
    </row>
    <row r="19">
      <c r="A19" s="7" t="n"/>
      <c r="B19" s="8" t="n"/>
      <c r="C19" s="9" t="n"/>
      <c r="D19" s="9" t="n"/>
      <c r="E19" s="9" t="n"/>
      <c r="F19" s="10" t="n"/>
      <c r="G19" s="10" t="n"/>
      <c r="H19" s="10" t="n"/>
      <c r="I19" s="9" t="n"/>
      <c r="J19" s="9" t="n"/>
      <c r="K19" s="9" t="n"/>
      <c r="L19" s="10" t="n"/>
      <c r="M19" s="10" t="n"/>
      <c r="N19" s="10" t="n"/>
      <c r="O19" s="9" t="n"/>
      <c r="P19" s="9" t="n"/>
      <c r="Q19" s="9" t="n"/>
      <c r="R19" s="10" t="n"/>
      <c r="S19" s="10" t="n"/>
      <c r="T19" s="10" t="n"/>
      <c r="U19" s="9" t="n"/>
      <c r="V19" s="9" t="n"/>
      <c r="W19" s="9" t="n"/>
    </row>
    <row r="20">
      <c r="A20" s="7" t="n"/>
      <c r="B20" s="8" t="n"/>
      <c r="C20" s="9" t="n"/>
      <c r="D20" s="9" t="n"/>
      <c r="E20" s="9" t="n"/>
      <c r="F20" s="10" t="n"/>
      <c r="G20" s="10" t="n"/>
      <c r="H20" s="10" t="n"/>
      <c r="I20" s="9" t="n"/>
      <c r="J20" s="9" t="n"/>
      <c r="K20" s="9" t="n"/>
      <c r="L20" s="10" t="n"/>
      <c r="M20" s="10" t="n"/>
      <c r="N20" s="10" t="n"/>
      <c r="O20" s="9" t="n"/>
      <c r="P20" s="9" t="n"/>
      <c r="Q20" s="9" t="n"/>
      <c r="R20" s="10" t="n"/>
      <c r="S20" s="10" t="n"/>
      <c r="T20" s="10" t="n"/>
      <c r="U20" s="9" t="n"/>
      <c r="V20" s="9" t="n"/>
      <c r="W20" s="9" t="n"/>
    </row>
  </sheetData>
  <conditionalFormatting sqref="C5:C20">
    <cfRule type="expression" priority="1" dxfId="0">
      <formula>LOWER(C5)="x"</formula>
    </cfRule>
  </conditionalFormatting>
  <conditionalFormatting sqref="D5:D20">
    <cfRule type="expression" priority="2" dxfId="0">
      <formula>LOWER(D5)="x"</formula>
    </cfRule>
  </conditionalFormatting>
  <conditionalFormatting sqref="E5:E20">
    <cfRule type="expression" priority="3" dxfId="0">
      <formula>LOWER(E5)="x"</formula>
    </cfRule>
  </conditionalFormatting>
  <conditionalFormatting sqref="F5:F20">
    <cfRule type="expression" priority="4" dxfId="0">
      <formula>LOWER(F5)="x"</formula>
    </cfRule>
  </conditionalFormatting>
  <conditionalFormatting sqref="G5:G20">
    <cfRule type="expression" priority="5" dxfId="0">
      <formula>LOWER(G5)="x"</formula>
    </cfRule>
  </conditionalFormatting>
  <conditionalFormatting sqref="H5:H20">
    <cfRule type="expression" priority="6" dxfId="0">
      <formula>LOWER(H5)="x"</formula>
    </cfRule>
  </conditionalFormatting>
  <conditionalFormatting sqref="I5:I20">
    <cfRule type="expression" priority="7" dxfId="0">
      <formula>LOWER(I5)="x"</formula>
    </cfRule>
  </conditionalFormatting>
  <conditionalFormatting sqref="J5:J20">
    <cfRule type="expression" priority="8" dxfId="0">
      <formula>LOWER(J5)="x"</formula>
    </cfRule>
  </conditionalFormatting>
  <conditionalFormatting sqref="K5:K20">
    <cfRule type="expression" priority="9" dxfId="0">
      <formula>LOWER(K5)="x"</formula>
    </cfRule>
  </conditionalFormatting>
  <conditionalFormatting sqref="L5:L20">
    <cfRule type="expression" priority="10" dxfId="0">
      <formula>LOWER(L5)="x"</formula>
    </cfRule>
  </conditionalFormatting>
  <conditionalFormatting sqref="M5:M20">
    <cfRule type="expression" priority="11" dxfId="0">
      <formula>LOWER(M5)="x"</formula>
    </cfRule>
  </conditionalFormatting>
  <conditionalFormatting sqref="N5:N20">
    <cfRule type="expression" priority="12" dxfId="0">
      <formula>LOWER(N5)="x"</formula>
    </cfRule>
  </conditionalFormatting>
  <conditionalFormatting sqref="O5:O20">
    <cfRule type="expression" priority="13" dxfId="0">
      <formula>LOWER(O5)="x"</formula>
    </cfRule>
  </conditionalFormatting>
  <conditionalFormatting sqref="P5:P20">
    <cfRule type="expression" priority="14" dxfId="0">
      <formula>LOWER(P5)="x"</formula>
    </cfRule>
  </conditionalFormatting>
  <conditionalFormatting sqref="Q5:Q20">
    <cfRule type="expression" priority="15" dxfId="0">
      <formula>LOWER(Q5)="x"</formula>
    </cfRule>
  </conditionalFormatting>
  <conditionalFormatting sqref="R5:R20">
    <cfRule type="expression" priority="16" dxfId="0">
      <formula>LOWER(R5)="x"</formula>
    </cfRule>
  </conditionalFormatting>
  <conditionalFormatting sqref="S5:S20">
    <cfRule type="expression" priority="17" dxfId="0">
      <formula>LOWER(S5)="x"</formula>
    </cfRule>
  </conditionalFormatting>
  <conditionalFormatting sqref="T5:T20">
    <cfRule type="expression" priority="18" dxfId="0">
      <formula>LOWER(T5)="x"</formula>
    </cfRule>
  </conditionalFormatting>
  <conditionalFormatting sqref="U5:U20">
    <cfRule type="expression" priority="19" dxfId="0">
      <formula>LOWER(U5)="x"</formula>
    </cfRule>
  </conditionalFormatting>
  <conditionalFormatting sqref="V5:V20">
    <cfRule type="expression" priority="20" dxfId="0">
      <formula>LOWER(V5)="x"</formula>
    </cfRule>
  </conditionalFormatting>
  <conditionalFormatting sqref="W5:W20">
    <cfRule type="expression" priority="21" dxfId="0">
      <formula>LOWER(W5)="x"</formula>
    </cfRule>
  </conditionalFormatting>
  <dataValidations count="2">
    <dataValidation sqref="B5:B20" showDropDown="0" showInputMessage="0" showErrorMessage="0" allowBlank="1" type="list">
      <formula1>"Pha chế,Phục vụ"</formula1>
    </dataValidation>
    <dataValidation sqref="C5:W20" showDropDown="0" showInputMessage="0" showErrorMessage="0" allowBlank="1" type="list">
      <formula1>"x"</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5"/>
  <sheetViews>
    <sheetView workbookViewId="0">
      <pane ySplit="4" topLeftCell="A5" activePane="bottomLeft" state="frozen"/>
      <selection pane="bottomLeft" activeCell="A1" sqref="A1"/>
    </sheetView>
  </sheetViews>
  <sheetFormatPr baseColWidth="8" defaultRowHeight="15"/>
  <cols>
    <col width="6" customWidth="1" min="1" max="1"/>
    <col width="8" customWidth="1" min="2" max="2"/>
    <col width="11" customWidth="1" min="3" max="3"/>
    <col width="11" customWidth="1" min="4" max="4"/>
  </cols>
  <sheetData>
    <row r="1">
      <c r="A1" s="11" t="inlineStr">
        <is>
          <t>SỐ BẠN RẢNH MỖI BUỔI (tự cập nhật)</t>
        </is>
      </c>
    </row>
    <row r="2">
      <c r="A2" s="2" t="inlineStr">
        <is>
          <t>Số bạn đăng ký rảnh / định mức cần. Ô ĐỎ = chưa đủ người rảnh → cần thêm bạn đăng ký buổi này.</t>
        </is>
      </c>
    </row>
    <row r="4">
      <c r="A4" s="12" t="inlineStr">
        <is>
          <t>Ngày</t>
        </is>
      </c>
      <c r="B4" s="12" t="inlineStr">
        <is>
          <t>Buổi</t>
        </is>
      </c>
      <c r="C4" s="12" t="inlineStr">
        <is>
          <t>Pha chế</t>
        </is>
      </c>
      <c r="D4" s="12" t="inlineStr">
        <is>
          <t>Phục vụ</t>
        </is>
      </c>
    </row>
    <row r="5">
      <c r="A5" s="8" t="inlineStr">
        <is>
          <t>T2</t>
        </is>
      </c>
      <c r="B5" s="8" t="inlineStr">
        <is>
          <t>Sáng</t>
        </is>
      </c>
      <c r="C5" s="8">
        <f>COUNTIFS('Đăng ký'!$B$5:$B$20,"Pha chế",'Đăng ký'!C$5:C$20,"x")&amp;"/2"</f>
        <v/>
      </c>
      <c r="D5" s="8">
        <f>COUNTIFS('Đăng ký'!$B$5:$B$20,"Phục vụ",'Đăng ký'!C$5:C$20,"x")&amp;"/3"</f>
        <v/>
      </c>
    </row>
    <row r="6">
      <c r="A6" s="8" t="inlineStr">
        <is>
          <t>T2</t>
        </is>
      </c>
      <c r="B6" s="8" t="inlineStr">
        <is>
          <t>Chiều</t>
        </is>
      </c>
      <c r="C6" s="8">
        <f>COUNTIFS('Đăng ký'!$B$5:$B$20,"Pha chế",'Đăng ký'!D$5:D$20,"x")&amp;"/2"</f>
        <v/>
      </c>
      <c r="D6" s="8">
        <f>COUNTIFS('Đăng ký'!$B$5:$B$20,"Phục vụ",'Đăng ký'!D$5:D$20,"x")&amp;"/2"</f>
        <v/>
      </c>
    </row>
    <row r="7">
      <c r="A7" s="8" t="inlineStr">
        <is>
          <t>T2</t>
        </is>
      </c>
      <c r="B7" s="8" t="inlineStr">
        <is>
          <t>Tối</t>
        </is>
      </c>
      <c r="C7" s="8">
        <f>COUNTIFS('Đăng ký'!$B$5:$B$20,"Pha chế",'Đăng ký'!E$5:E$20,"x")&amp;"/2"</f>
        <v/>
      </c>
      <c r="D7" s="8">
        <f>COUNTIFS('Đăng ký'!$B$5:$B$20,"Phục vụ",'Đăng ký'!E$5:E$20,"x")&amp;"/3"</f>
        <v/>
      </c>
    </row>
    <row r="8">
      <c r="A8" s="8" t="inlineStr">
        <is>
          <t>T3</t>
        </is>
      </c>
      <c r="B8" s="8" t="inlineStr">
        <is>
          <t>Sáng</t>
        </is>
      </c>
      <c r="C8" s="8">
        <f>COUNTIFS('Đăng ký'!$B$5:$B$20,"Pha chế",'Đăng ký'!F$5:F$20,"x")&amp;"/2"</f>
        <v/>
      </c>
      <c r="D8" s="8">
        <f>COUNTIFS('Đăng ký'!$B$5:$B$20,"Phục vụ",'Đăng ký'!F$5:F$20,"x")&amp;"/3"</f>
        <v/>
      </c>
    </row>
    <row r="9">
      <c r="A9" s="8" t="inlineStr">
        <is>
          <t>T3</t>
        </is>
      </c>
      <c r="B9" s="8" t="inlineStr">
        <is>
          <t>Chiều</t>
        </is>
      </c>
      <c r="C9" s="8">
        <f>COUNTIFS('Đăng ký'!$B$5:$B$20,"Pha chế",'Đăng ký'!G$5:G$20,"x")&amp;"/2"</f>
        <v/>
      </c>
      <c r="D9" s="8">
        <f>COUNTIFS('Đăng ký'!$B$5:$B$20,"Phục vụ",'Đăng ký'!G$5:G$20,"x")&amp;"/2"</f>
        <v/>
      </c>
    </row>
    <row r="10">
      <c r="A10" s="8" t="inlineStr">
        <is>
          <t>T3</t>
        </is>
      </c>
      <c r="B10" s="8" t="inlineStr">
        <is>
          <t>Tối</t>
        </is>
      </c>
      <c r="C10" s="8">
        <f>COUNTIFS('Đăng ký'!$B$5:$B$20,"Pha chế",'Đăng ký'!H$5:H$20,"x")&amp;"/2"</f>
        <v/>
      </c>
      <c r="D10" s="8">
        <f>COUNTIFS('Đăng ký'!$B$5:$B$20,"Phục vụ",'Đăng ký'!H$5:H$20,"x")&amp;"/3"</f>
        <v/>
      </c>
    </row>
    <row r="11">
      <c r="A11" s="8" t="inlineStr">
        <is>
          <t>T4</t>
        </is>
      </c>
      <c r="B11" s="8" t="inlineStr">
        <is>
          <t>Sáng</t>
        </is>
      </c>
      <c r="C11" s="8">
        <f>COUNTIFS('Đăng ký'!$B$5:$B$20,"Pha chế",'Đăng ký'!I$5:I$20,"x")&amp;"/2"</f>
        <v/>
      </c>
      <c r="D11" s="8">
        <f>COUNTIFS('Đăng ký'!$B$5:$B$20,"Phục vụ",'Đăng ký'!I$5:I$20,"x")&amp;"/3"</f>
        <v/>
      </c>
    </row>
    <row r="12">
      <c r="A12" s="8" t="inlineStr">
        <is>
          <t>T4</t>
        </is>
      </c>
      <c r="B12" s="8" t="inlineStr">
        <is>
          <t>Chiều</t>
        </is>
      </c>
      <c r="C12" s="8">
        <f>COUNTIFS('Đăng ký'!$B$5:$B$20,"Pha chế",'Đăng ký'!J$5:J$20,"x")&amp;"/2"</f>
        <v/>
      </c>
      <c r="D12" s="8">
        <f>COUNTIFS('Đăng ký'!$B$5:$B$20,"Phục vụ",'Đăng ký'!J$5:J$20,"x")&amp;"/2"</f>
        <v/>
      </c>
    </row>
    <row r="13">
      <c r="A13" s="8" t="inlineStr">
        <is>
          <t>T4</t>
        </is>
      </c>
      <c r="B13" s="8" t="inlineStr">
        <is>
          <t>Tối</t>
        </is>
      </c>
      <c r="C13" s="8">
        <f>COUNTIFS('Đăng ký'!$B$5:$B$20,"Pha chế",'Đăng ký'!K$5:K$20,"x")&amp;"/2"</f>
        <v/>
      </c>
      <c r="D13" s="8">
        <f>COUNTIFS('Đăng ký'!$B$5:$B$20,"Phục vụ",'Đăng ký'!K$5:K$20,"x")&amp;"/3"</f>
        <v/>
      </c>
    </row>
    <row r="14">
      <c r="A14" s="8" t="inlineStr">
        <is>
          <t>T5</t>
        </is>
      </c>
      <c r="B14" s="8" t="inlineStr">
        <is>
          <t>Sáng</t>
        </is>
      </c>
      <c r="C14" s="8">
        <f>COUNTIFS('Đăng ký'!$B$5:$B$20,"Pha chế",'Đăng ký'!L$5:L$20,"x")&amp;"/2"</f>
        <v/>
      </c>
      <c r="D14" s="8">
        <f>COUNTIFS('Đăng ký'!$B$5:$B$20,"Phục vụ",'Đăng ký'!L$5:L$20,"x")&amp;"/3"</f>
        <v/>
      </c>
    </row>
    <row r="15">
      <c r="A15" s="8" t="inlineStr">
        <is>
          <t>T5</t>
        </is>
      </c>
      <c r="B15" s="8" t="inlineStr">
        <is>
          <t>Chiều</t>
        </is>
      </c>
      <c r="C15" s="8">
        <f>COUNTIFS('Đăng ký'!$B$5:$B$20,"Pha chế",'Đăng ký'!M$5:M$20,"x")&amp;"/2"</f>
        <v/>
      </c>
      <c r="D15" s="8">
        <f>COUNTIFS('Đăng ký'!$B$5:$B$20,"Phục vụ",'Đăng ký'!M$5:M$20,"x")&amp;"/2"</f>
        <v/>
      </c>
    </row>
    <row r="16">
      <c r="A16" s="8" t="inlineStr">
        <is>
          <t>T5</t>
        </is>
      </c>
      <c r="B16" s="8" t="inlineStr">
        <is>
          <t>Tối</t>
        </is>
      </c>
      <c r="C16" s="8">
        <f>COUNTIFS('Đăng ký'!$B$5:$B$20,"Pha chế",'Đăng ký'!N$5:N$20,"x")&amp;"/2"</f>
        <v/>
      </c>
      <c r="D16" s="8">
        <f>COUNTIFS('Đăng ký'!$B$5:$B$20,"Phục vụ",'Đăng ký'!N$5:N$20,"x")&amp;"/3"</f>
        <v/>
      </c>
    </row>
    <row r="17">
      <c r="A17" s="8" t="inlineStr">
        <is>
          <t>T6</t>
        </is>
      </c>
      <c r="B17" s="8" t="inlineStr">
        <is>
          <t>Sáng</t>
        </is>
      </c>
      <c r="C17" s="8">
        <f>COUNTIFS('Đăng ký'!$B$5:$B$20,"Pha chế",'Đăng ký'!O$5:O$20,"x")&amp;"/2"</f>
        <v/>
      </c>
      <c r="D17" s="8">
        <f>COUNTIFS('Đăng ký'!$B$5:$B$20,"Phục vụ",'Đăng ký'!O$5:O$20,"x")&amp;"/3"</f>
        <v/>
      </c>
    </row>
    <row r="18">
      <c r="A18" s="8" t="inlineStr">
        <is>
          <t>T6</t>
        </is>
      </c>
      <c r="B18" s="8" t="inlineStr">
        <is>
          <t>Chiều</t>
        </is>
      </c>
      <c r="C18" s="8">
        <f>COUNTIFS('Đăng ký'!$B$5:$B$20,"Pha chế",'Đăng ký'!P$5:P$20,"x")&amp;"/2"</f>
        <v/>
      </c>
      <c r="D18" s="8">
        <f>COUNTIFS('Đăng ký'!$B$5:$B$20,"Phục vụ",'Đăng ký'!P$5:P$20,"x")&amp;"/2"</f>
        <v/>
      </c>
    </row>
    <row r="19">
      <c r="A19" s="8" t="inlineStr">
        <is>
          <t>T6</t>
        </is>
      </c>
      <c r="B19" s="8" t="inlineStr">
        <is>
          <t>Tối</t>
        </is>
      </c>
      <c r="C19" s="8">
        <f>COUNTIFS('Đăng ký'!$B$5:$B$20,"Pha chế",'Đăng ký'!Q$5:Q$20,"x")&amp;"/2"</f>
        <v/>
      </c>
      <c r="D19" s="8">
        <f>COUNTIFS('Đăng ký'!$B$5:$B$20,"Phục vụ",'Đăng ký'!Q$5:Q$20,"x")&amp;"/3"</f>
        <v/>
      </c>
    </row>
    <row r="20">
      <c r="A20" s="8" t="inlineStr">
        <is>
          <t>T7</t>
        </is>
      </c>
      <c r="B20" s="8" t="inlineStr">
        <is>
          <t>Sáng</t>
        </is>
      </c>
      <c r="C20" s="8">
        <f>COUNTIFS('Đăng ký'!$B$5:$B$20,"Pha chế",'Đăng ký'!R$5:R$20,"x")&amp;"/2"</f>
        <v/>
      </c>
      <c r="D20" s="8">
        <f>COUNTIFS('Đăng ký'!$B$5:$B$20,"Phục vụ",'Đăng ký'!R$5:R$20,"x")&amp;"/3"</f>
        <v/>
      </c>
    </row>
    <row r="21">
      <c r="A21" s="8" t="inlineStr">
        <is>
          <t>T7</t>
        </is>
      </c>
      <c r="B21" s="8" t="inlineStr">
        <is>
          <t>Chiều</t>
        </is>
      </c>
      <c r="C21" s="8">
        <f>COUNTIFS('Đăng ký'!$B$5:$B$20,"Pha chế",'Đăng ký'!S$5:S$20,"x")&amp;"/2"</f>
        <v/>
      </c>
      <c r="D21" s="8">
        <f>COUNTIFS('Đăng ký'!$B$5:$B$20,"Phục vụ",'Đăng ký'!S$5:S$20,"x")&amp;"/2"</f>
        <v/>
      </c>
    </row>
    <row r="22">
      <c r="A22" s="8" t="inlineStr">
        <is>
          <t>T7</t>
        </is>
      </c>
      <c r="B22" s="8" t="inlineStr">
        <is>
          <t>Tối</t>
        </is>
      </c>
      <c r="C22" s="8">
        <f>COUNTIFS('Đăng ký'!$B$5:$B$20,"Pha chế",'Đăng ký'!T$5:T$20,"x")&amp;"/2"</f>
        <v/>
      </c>
      <c r="D22" s="8">
        <f>COUNTIFS('Đăng ký'!$B$5:$B$20,"Phục vụ",'Đăng ký'!T$5:T$20,"x")&amp;"/3"</f>
        <v/>
      </c>
    </row>
    <row r="23">
      <c r="A23" s="8" t="inlineStr">
        <is>
          <t>CN</t>
        </is>
      </c>
      <c r="B23" s="8" t="inlineStr">
        <is>
          <t>Sáng</t>
        </is>
      </c>
      <c r="C23" s="8">
        <f>COUNTIFS('Đăng ký'!$B$5:$B$20,"Pha chế",'Đăng ký'!U$5:U$20,"x")&amp;"/2"</f>
        <v/>
      </c>
      <c r="D23" s="8">
        <f>COUNTIFS('Đăng ký'!$B$5:$B$20,"Phục vụ",'Đăng ký'!U$5:U$20,"x")&amp;"/3"</f>
        <v/>
      </c>
    </row>
    <row r="24">
      <c r="A24" s="8" t="inlineStr">
        <is>
          <t>CN</t>
        </is>
      </c>
      <c r="B24" s="8" t="inlineStr">
        <is>
          <t>Chiều</t>
        </is>
      </c>
      <c r="C24" s="8">
        <f>COUNTIFS('Đăng ký'!$B$5:$B$20,"Pha chế",'Đăng ký'!V$5:V$20,"x")&amp;"/2"</f>
        <v/>
      </c>
      <c r="D24" s="8">
        <f>COUNTIFS('Đăng ký'!$B$5:$B$20,"Phục vụ",'Đăng ký'!V$5:V$20,"x")&amp;"/2"</f>
        <v/>
      </c>
    </row>
    <row r="25">
      <c r="A25" s="8" t="inlineStr">
        <is>
          <t>CN</t>
        </is>
      </c>
      <c r="B25" s="8" t="inlineStr">
        <is>
          <t>Tối</t>
        </is>
      </c>
      <c r="C25" s="8">
        <f>COUNTIFS('Đăng ký'!$B$5:$B$20,"Pha chế",'Đăng ký'!W$5:W$20,"x")&amp;"/2"</f>
        <v/>
      </c>
      <c r="D25" s="8">
        <f>COUNTIFS('Đăng ký'!$B$5:$B$20,"Phục vụ",'Đăng ký'!W$5:W$20,"x")&amp;"/3"</f>
        <v/>
      </c>
    </row>
  </sheetData>
  <conditionalFormatting sqref="C5">
    <cfRule type="expression" priority="1" dxfId="1">
      <formula>COUNTIFS('Đăng ký'!$B$5:$B$20,"Pha chế",'Đăng ký'!C$5:C$20,"x")&lt;2</formula>
    </cfRule>
  </conditionalFormatting>
  <conditionalFormatting sqref="D5">
    <cfRule type="expression" priority="2" dxfId="1">
      <formula>COUNTIFS('Đăng ký'!$B$5:$B$20,"Phục vụ",'Đăng ký'!C$5:C$20,"x")&lt;3</formula>
    </cfRule>
  </conditionalFormatting>
  <conditionalFormatting sqref="C6">
    <cfRule type="expression" priority="3" dxfId="1">
      <formula>COUNTIFS('Đăng ký'!$B$5:$B$20,"Pha chế",'Đăng ký'!D$5:D$20,"x")&lt;2</formula>
    </cfRule>
  </conditionalFormatting>
  <conditionalFormatting sqref="D6">
    <cfRule type="expression" priority="4" dxfId="1">
      <formula>COUNTIFS('Đăng ký'!$B$5:$B$20,"Phục vụ",'Đăng ký'!D$5:D$20,"x")&lt;2</formula>
    </cfRule>
  </conditionalFormatting>
  <conditionalFormatting sqref="C7">
    <cfRule type="expression" priority="5" dxfId="1">
      <formula>COUNTIFS('Đăng ký'!$B$5:$B$20,"Pha chế",'Đăng ký'!E$5:E$20,"x")&lt;2</formula>
    </cfRule>
  </conditionalFormatting>
  <conditionalFormatting sqref="D7">
    <cfRule type="expression" priority="6" dxfId="1">
      <formula>COUNTIFS('Đăng ký'!$B$5:$B$20,"Phục vụ",'Đăng ký'!E$5:E$20,"x")&lt;3</formula>
    </cfRule>
  </conditionalFormatting>
  <conditionalFormatting sqref="C8">
    <cfRule type="expression" priority="7" dxfId="1">
      <formula>COUNTIFS('Đăng ký'!$B$5:$B$20,"Pha chế",'Đăng ký'!F$5:F$20,"x")&lt;2</formula>
    </cfRule>
  </conditionalFormatting>
  <conditionalFormatting sqref="D8">
    <cfRule type="expression" priority="8" dxfId="1">
      <formula>COUNTIFS('Đăng ký'!$B$5:$B$20,"Phục vụ",'Đăng ký'!F$5:F$20,"x")&lt;3</formula>
    </cfRule>
  </conditionalFormatting>
  <conditionalFormatting sqref="C9">
    <cfRule type="expression" priority="9" dxfId="1">
      <formula>COUNTIFS('Đăng ký'!$B$5:$B$20,"Pha chế",'Đăng ký'!G$5:G$20,"x")&lt;2</formula>
    </cfRule>
  </conditionalFormatting>
  <conditionalFormatting sqref="D9">
    <cfRule type="expression" priority="10" dxfId="1">
      <formula>COUNTIFS('Đăng ký'!$B$5:$B$20,"Phục vụ",'Đăng ký'!G$5:G$20,"x")&lt;2</formula>
    </cfRule>
  </conditionalFormatting>
  <conditionalFormatting sqref="C10">
    <cfRule type="expression" priority="11" dxfId="1">
      <formula>COUNTIFS('Đăng ký'!$B$5:$B$20,"Pha chế",'Đăng ký'!H$5:H$20,"x")&lt;2</formula>
    </cfRule>
  </conditionalFormatting>
  <conditionalFormatting sqref="D10">
    <cfRule type="expression" priority="12" dxfId="1">
      <formula>COUNTIFS('Đăng ký'!$B$5:$B$20,"Phục vụ",'Đăng ký'!H$5:H$20,"x")&lt;3</formula>
    </cfRule>
  </conditionalFormatting>
  <conditionalFormatting sqref="C11">
    <cfRule type="expression" priority="13" dxfId="1">
      <formula>COUNTIFS('Đăng ký'!$B$5:$B$20,"Pha chế",'Đăng ký'!I$5:I$20,"x")&lt;2</formula>
    </cfRule>
  </conditionalFormatting>
  <conditionalFormatting sqref="D11">
    <cfRule type="expression" priority="14" dxfId="1">
      <formula>COUNTIFS('Đăng ký'!$B$5:$B$20,"Phục vụ",'Đăng ký'!I$5:I$20,"x")&lt;3</formula>
    </cfRule>
  </conditionalFormatting>
  <conditionalFormatting sqref="C12">
    <cfRule type="expression" priority="15" dxfId="1">
      <formula>COUNTIFS('Đăng ký'!$B$5:$B$20,"Pha chế",'Đăng ký'!J$5:J$20,"x")&lt;2</formula>
    </cfRule>
  </conditionalFormatting>
  <conditionalFormatting sqref="D12">
    <cfRule type="expression" priority="16" dxfId="1">
      <formula>COUNTIFS('Đăng ký'!$B$5:$B$20,"Phục vụ",'Đăng ký'!J$5:J$20,"x")&lt;2</formula>
    </cfRule>
  </conditionalFormatting>
  <conditionalFormatting sqref="C13">
    <cfRule type="expression" priority="17" dxfId="1">
      <formula>COUNTIFS('Đăng ký'!$B$5:$B$20,"Pha chế",'Đăng ký'!K$5:K$20,"x")&lt;2</formula>
    </cfRule>
  </conditionalFormatting>
  <conditionalFormatting sqref="D13">
    <cfRule type="expression" priority="18" dxfId="1">
      <formula>COUNTIFS('Đăng ký'!$B$5:$B$20,"Phục vụ",'Đăng ký'!K$5:K$20,"x")&lt;3</formula>
    </cfRule>
  </conditionalFormatting>
  <conditionalFormatting sqref="C14">
    <cfRule type="expression" priority="19" dxfId="1">
      <formula>COUNTIFS('Đăng ký'!$B$5:$B$20,"Pha chế",'Đăng ký'!L$5:L$20,"x")&lt;2</formula>
    </cfRule>
  </conditionalFormatting>
  <conditionalFormatting sqref="D14">
    <cfRule type="expression" priority="20" dxfId="1">
      <formula>COUNTIFS('Đăng ký'!$B$5:$B$20,"Phục vụ",'Đăng ký'!L$5:L$20,"x")&lt;3</formula>
    </cfRule>
  </conditionalFormatting>
  <conditionalFormatting sqref="C15">
    <cfRule type="expression" priority="21" dxfId="1">
      <formula>COUNTIFS('Đăng ký'!$B$5:$B$20,"Pha chế",'Đăng ký'!M$5:M$20,"x")&lt;2</formula>
    </cfRule>
  </conditionalFormatting>
  <conditionalFormatting sqref="D15">
    <cfRule type="expression" priority="22" dxfId="1">
      <formula>COUNTIFS('Đăng ký'!$B$5:$B$20,"Phục vụ",'Đăng ký'!M$5:M$20,"x")&lt;2</formula>
    </cfRule>
  </conditionalFormatting>
  <conditionalFormatting sqref="C16">
    <cfRule type="expression" priority="23" dxfId="1">
      <formula>COUNTIFS('Đăng ký'!$B$5:$B$20,"Pha chế",'Đăng ký'!N$5:N$20,"x")&lt;2</formula>
    </cfRule>
  </conditionalFormatting>
  <conditionalFormatting sqref="D16">
    <cfRule type="expression" priority="24" dxfId="1">
      <formula>COUNTIFS('Đăng ký'!$B$5:$B$20,"Phục vụ",'Đăng ký'!N$5:N$20,"x")&lt;3</formula>
    </cfRule>
  </conditionalFormatting>
  <conditionalFormatting sqref="C17">
    <cfRule type="expression" priority="25" dxfId="1">
      <formula>COUNTIFS('Đăng ký'!$B$5:$B$20,"Pha chế",'Đăng ký'!O$5:O$20,"x")&lt;2</formula>
    </cfRule>
  </conditionalFormatting>
  <conditionalFormatting sqref="D17">
    <cfRule type="expression" priority="26" dxfId="1">
      <formula>COUNTIFS('Đăng ký'!$B$5:$B$20,"Phục vụ",'Đăng ký'!O$5:O$20,"x")&lt;3</formula>
    </cfRule>
  </conditionalFormatting>
  <conditionalFormatting sqref="C18">
    <cfRule type="expression" priority="27" dxfId="1">
      <formula>COUNTIFS('Đăng ký'!$B$5:$B$20,"Pha chế",'Đăng ký'!P$5:P$20,"x")&lt;2</formula>
    </cfRule>
  </conditionalFormatting>
  <conditionalFormatting sqref="D18">
    <cfRule type="expression" priority="28" dxfId="1">
      <formula>COUNTIFS('Đăng ký'!$B$5:$B$20,"Phục vụ",'Đăng ký'!P$5:P$20,"x")&lt;2</formula>
    </cfRule>
  </conditionalFormatting>
  <conditionalFormatting sqref="C19">
    <cfRule type="expression" priority="29" dxfId="1">
      <formula>COUNTIFS('Đăng ký'!$B$5:$B$20,"Pha chế",'Đăng ký'!Q$5:Q$20,"x")&lt;2</formula>
    </cfRule>
  </conditionalFormatting>
  <conditionalFormatting sqref="D19">
    <cfRule type="expression" priority="30" dxfId="1">
      <formula>COUNTIFS('Đăng ký'!$B$5:$B$20,"Phục vụ",'Đăng ký'!Q$5:Q$20,"x")&lt;3</formula>
    </cfRule>
  </conditionalFormatting>
  <conditionalFormatting sqref="C20">
    <cfRule type="expression" priority="31" dxfId="1">
      <formula>COUNTIFS('Đăng ký'!$B$5:$B$20,"Pha chế",'Đăng ký'!R$5:R$20,"x")&lt;2</formula>
    </cfRule>
  </conditionalFormatting>
  <conditionalFormatting sqref="D20">
    <cfRule type="expression" priority="32" dxfId="1">
      <formula>COUNTIFS('Đăng ký'!$B$5:$B$20,"Phục vụ",'Đăng ký'!R$5:R$20,"x")&lt;3</formula>
    </cfRule>
  </conditionalFormatting>
  <conditionalFormatting sqref="C21">
    <cfRule type="expression" priority="33" dxfId="1">
      <formula>COUNTIFS('Đăng ký'!$B$5:$B$20,"Pha chế",'Đăng ký'!S$5:S$20,"x")&lt;2</formula>
    </cfRule>
  </conditionalFormatting>
  <conditionalFormatting sqref="D21">
    <cfRule type="expression" priority="34" dxfId="1">
      <formula>COUNTIFS('Đăng ký'!$B$5:$B$20,"Phục vụ",'Đăng ký'!S$5:S$20,"x")&lt;2</formula>
    </cfRule>
  </conditionalFormatting>
  <conditionalFormatting sqref="C22">
    <cfRule type="expression" priority="35" dxfId="1">
      <formula>COUNTIFS('Đăng ký'!$B$5:$B$20,"Pha chế",'Đăng ký'!T$5:T$20,"x")&lt;2</formula>
    </cfRule>
  </conditionalFormatting>
  <conditionalFormatting sqref="D22">
    <cfRule type="expression" priority="36" dxfId="1">
      <formula>COUNTIFS('Đăng ký'!$B$5:$B$20,"Phục vụ",'Đăng ký'!T$5:T$20,"x")&lt;3</formula>
    </cfRule>
  </conditionalFormatting>
  <conditionalFormatting sqref="C23">
    <cfRule type="expression" priority="37" dxfId="1">
      <formula>COUNTIFS('Đăng ký'!$B$5:$B$20,"Pha chế",'Đăng ký'!U$5:U$20,"x")&lt;2</formula>
    </cfRule>
  </conditionalFormatting>
  <conditionalFormatting sqref="D23">
    <cfRule type="expression" priority="38" dxfId="1">
      <formula>COUNTIFS('Đăng ký'!$B$5:$B$20,"Phục vụ",'Đăng ký'!U$5:U$20,"x")&lt;3</formula>
    </cfRule>
  </conditionalFormatting>
  <conditionalFormatting sqref="C24">
    <cfRule type="expression" priority="39" dxfId="1">
      <formula>COUNTIFS('Đăng ký'!$B$5:$B$20,"Pha chế",'Đăng ký'!V$5:V$20,"x")&lt;2</formula>
    </cfRule>
  </conditionalFormatting>
  <conditionalFormatting sqref="D24">
    <cfRule type="expression" priority="40" dxfId="1">
      <formula>COUNTIFS('Đăng ký'!$B$5:$B$20,"Phục vụ",'Đăng ký'!V$5:V$20,"x")&lt;2</formula>
    </cfRule>
  </conditionalFormatting>
  <conditionalFormatting sqref="C25">
    <cfRule type="expression" priority="41" dxfId="1">
      <formula>COUNTIFS('Đăng ký'!$B$5:$B$20,"Pha chế",'Đăng ký'!W$5:W$20,"x")&lt;2</formula>
    </cfRule>
  </conditionalFormatting>
  <conditionalFormatting sqref="D25">
    <cfRule type="expression" priority="42" dxfId="1">
      <formula>COUNTIFS('Đăng ký'!$B$5:$B$20,"Phục vụ",'Đăng ký'!W$5:W$20,"x")&lt;3</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2026-07-15T11:58:03Z</dcterms:created>
  <dcterms:modified xsi:type="dcterms:W3CDTF">2026-07-15T11:58:03Z</dcterms:modified>
</cp:coreProperties>
</file>